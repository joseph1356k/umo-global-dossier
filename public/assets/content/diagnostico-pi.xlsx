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ustinbarreneche53/Downloads/"/>
    </mc:Choice>
  </mc:AlternateContent>
  <xr:revisionPtr revIDLastSave="0" documentId="13_ncr:1_{9A6BF2E1-E856-E646-9FAC-A77FA9D58349}" xr6:coauthVersionLast="47" xr6:coauthVersionMax="47" xr10:uidLastSave="{00000000-0000-0000-0000-000000000000}"/>
  <bookViews>
    <workbookView xWindow="0" yWindow="0" windowWidth="28800" windowHeight="18000" activeTab="2" xr2:uid="{B5259795-8114-435D-8A21-32B68B8D810E}"/>
  </bookViews>
  <sheets>
    <sheet name="Cuestionario" sheetId="1" r:id="rId1"/>
    <sheet name="Formulación y Resultados" sheetId="4" r:id="rId2"/>
    <sheet name="Resultados" sheetId="6" r:id="rId3"/>
    <sheet name="Ponderación" sheetId="2" state="hidden" r:id="rId4"/>
    <sheet name="Datos" sheetId="5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9" i="4" l="1"/>
  <c r="F89" i="4" s="1"/>
  <c r="F88" i="4"/>
  <c r="F87" i="4"/>
  <c r="F86" i="4"/>
  <c r="F85" i="4"/>
  <c r="F84" i="4"/>
  <c r="F83" i="4"/>
  <c r="F82" i="4"/>
  <c r="F81" i="4"/>
  <c r="F80" i="4"/>
  <c r="F79" i="4"/>
  <c r="D17" i="6"/>
  <c r="E54" i="4"/>
  <c r="F54" i="4" s="1"/>
  <c r="E52" i="4"/>
  <c r="F52" i="4" s="1"/>
  <c r="E53" i="4"/>
  <c r="F53" i="4" s="1"/>
  <c r="E51" i="4"/>
  <c r="F51" i="4" s="1"/>
  <c r="E27" i="4"/>
  <c r="E88" i="4"/>
  <c r="E87" i="4"/>
  <c r="E86" i="4"/>
  <c r="E85" i="4"/>
  <c r="E84" i="4"/>
  <c r="E83" i="4"/>
  <c r="E82" i="4"/>
  <c r="E81" i="4"/>
  <c r="E80" i="4"/>
  <c r="E79" i="4"/>
  <c r="E77" i="4"/>
  <c r="F77" i="4" s="1"/>
  <c r="G77" i="4" s="1"/>
  <c r="J12" i="4" s="1"/>
  <c r="C15" i="6" s="1"/>
  <c r="E75" i="4"/>
  <c r="F75" i="4" s="1"/>
  <c r="E74" i="4"/>
  <c r="F74" i="4" s="1"/>
  <c r="E73" i="4"/>
  <c r="F73" i="4" s="1"/>
  <c r="E72" i="4"/>
  <c r="F72" i="4" s="1"/>
  <c r="E71" i="4"/>
  <c r="F71" i="4" s="1"/>
  <c r="E70" i="4"/>
  <c r="F70" i="4" s="1"/>
  <c r="E68" i="4"/>
  <c r="F68" i="4" s="1"/>
  <c r="E67" i="4"/>
  <c r="F67" i="4" s="1"/>
  <c r="E66" i="4"/>
  <c r="F66" i="4" s="1"/>
  <c r="E65" i="4"/>
  <c r="F65" i="4" s="1"/>
  <c r="E64" i="4"/>
  <c r="F64" i="4" s="1"/>
  <c r="E63" i="4"/>
  <c r="F63" i="4" s="1"/>
  <c r="E62" i="4"/>
  <c r="F62" i="4" s="1"/>
  <c r="E59" i="4"/>
  <c r="F59" i="4" s="1"/>
  <c r="E58" i="4"/>
  <c r="F58" i="4" s="1"/>
  <c r="E57" i="4"/>
  <c r="F57" i="4" s="1"/>
  <c r="E56" i="4"/>
  <c r="F56" i="4" s="1"/>
  <c r="E61" i="4"/>
  <c r="F61" i="4" s="1"/>
  <c r="E60" i="4"/>
  <c r="F60" i="4" s="1"/>
  <c r="E49" i="4"/>
  <c r="F49" i="4" s="1"/>
  <c r="E45" i="4"/>
  <c r="F45" i="4" s="1"/>
  <c r="G50" i="4" l="1"/>
  <c r="J9" i="4" s="1"/>
  <c r="C12" i="6" s="1"/>
  <c r="E12" i="6" s="1"/>
  <c r="E15" i="6"/>
  <c r="G79" i="4"/>
  <c r="J13" i="4" s="1"/>
  <c r="C16" i="6" s="1"/>
  <c r="E16" i="6" s="1"/>
  <c r="G56" i="4"/>
  <c r="J10" i="4" s="1"/>
  <c r="C13" i="6" s="1"/>
  <c r="E13" i="6" s="1"/>
  <c r="G70" i="4"/>
  <c r="J11" i="4" s="1"/>
  <c r="C14" i="6" s="1"/>
  <c r="E14" i="6" s="1"/>
  <c r="E48" i="4"/>
  <c r="F48" i="4" s="1"/>
  <c r="E47" i="4"/>
  <c r="F47" i="4" s="1"/>
  <c r="E46" i="4"/>
  <c r="F46" i="4" s="1"/>
  <c r="E44" i="4"/>
  <c r="F44" i="4" s="1"/>
  <c r="E41" i="4"/>
  <c r="F41" i="4" s="1"/>
  <c r="E43" i="4"/>
  <c r="F43" i="4" s="1"/>
  <c r="E42" i="4"/>
  <c r="F42" i="4" s="1"/>
  <c r="E40" i="4"/>
  <c r="F40" i="4" s="1"/>
  <c r="E39" i="4"/>
  <c r="F39" i="4" s="1"/>
  <c r="E28" i="4"/>
  <c r="F28" i="4" s="1"/>
  <c r="E35" i="4"/>
  <c r="F35" i="4" s="1"/>
  <c r="E34" i="4"/>
  <c r="F34" i="4" s="1"/>
  <c r="E33" i="4"/>
  <c r="F33" i="4" s="1"/>
  <c r="E32" i="4"/>
  <c r="F32" i="4" s="1"/>
  <c r="E31" i="4"/>
  <c r="F31" i="4" s="1"/>
  <c r="E26" i="4"/>
  <c r="F26" i="4" s="1"/>
  <c r="E24" i="4"/>
  <c r="F24" i="4" s="1"/>
  <c r="E22" i="4"/>
  <c r="F22" i="4" s="1"/>
  <c r="E21" i="4"/>
  <c r="F21" i="4" s="1"/>
  <c r="E20" i="4"/>
  <c r="F20" i="4" s="1"/>
  <c r="E19" i="4"/>
  <c r="F19" i="4" s="1"/>
  <c r="E18" i="4"/>
  <c r="F18" i="4" s="1"/>
  <c r="E16" i="4"/>
  <c r="F16" i="4" s="1"/>
  <c r="E15" i="4"/>
  <c r="F15" i="4" s="1"/>
  <c r="E14" i="4"/>
  <c r="F14" i="4" s="1"/>
  <c r="E13" i="4"/>
  <c r="F13" i="4" s="1"/>
  <c r="E9" i="4"/>
  <c r="E11" i="4"/>
  <c r="E30" i="4"/>
  <c r="F30" i="4" s="1"/>
  <c r="E29" i="4"/>
  <c r="F29" i="4" s="1"/>
  <c r="F27" i="4"/>
  <c r="E31" i="1"/>
  <c r="E23" i="4"/>
  <c r="F23" i="4" s="1"/>
  <c r="G39" i="4" l="1"/>
  <c r="H38" i="4" s="1"/>
  <c r="G26" i="4"/>
  <c r="J6" i="4" s="1"/>
  <c r="C8" i="6" s="1"/>
  <c r="E8" i="6" s="1"/>
  <c r="G18" i="4"/>
  <c r="J5" i="4" s="1"/>
  <c r="C7" i="6" s="1"/>
  <c r="E7" i="6" s="1"/>
  <c r="G13" i="4"/>
  <c r="J4" i="4" s="1"/>
  <c r="C6" i="6" s="1"/>
  <c r="E6" i="6" s="1"/>
  <c r="F11" i="4"/>
  <c r="E10" i="4"/>
  <c r="F10" i="4" s="1"/>
  <c r="F9" i="4"/>
  <c r="E5" i="4"/>
  <c r="F5" i="4" s="1"/>
  <c r="E6" i="4"/>
  <c r="F6" i="4" s="1"/>
  <c r="E7" i="4"/>
  <c r="F7" i="4" s="1"/>
  <c r="E8" i="4"/>
  <c r="F8" i="4" s="1"/>
  <c r="E4" i="4"/>
  <c r="F4" i="4" s="1"/>
  <c r="E3" i="4"/>
  <c r="F3" i="4" s="1"/>
  <c r="B1" i="2"/>
  <c r="J7" i="4" l="1"/>
  <c r="C9" i="6" s="1"/>
  <c r="E9" i="6" s="1"/>
  <c r="J8" i="4"/>
  <c r="C11" i="6" s="1"/>
  <c r="G3" i="4"/>
  <c r="J3" i="4" s="1"/>
  <c r="C5" i="6" s="1"/>
  <c r="E11" i="6" l="1"/>
  <c r="C10" i="6"/>
  <c r="E10" i="6" s="1"/>
  <c r="E5" i="6"/>
  <c r="C17" i="6"/>
</calcChain>
</file>

<file path=xl/sharedStrings.xml><?xml version="1.0" encoding="utf-8"?>
<sst xmlns="http://schemas.openxmlformats.org/spreadsheetml/2006/main" count="387" uniqueCount="173">
  <si>
    <t>Talento Humano</t>
  </si>
  <si>
    <t>Ha realizado exportación</t>
  </si>
  <si>
    <t>Si</t>
  </si>
  <si>
    <t>No</t>
  </si>
  <si>
    <t>Ha realizado importación</t>
  </si>
  <si>
    <t>Indirecta</t>
  </si>
  <si>
    <t>Está registrado como exportador</t>
  </si>
  <si>
    <t>Está registrado como importador</t>
  </si>
  <si>
    <t>Exportación e Importación</t>
  </si>
  <si>
    <t>Inversión Extranjera Directa</t>
  </si>
  <si>
    <t>La empresa cuenta con filiales en el exterior</t>
  </si>
  <si>
    <t>La empresa realiza Investigación y Desarrollo para la internacionalización</t>
  </si>
  <si>
    <t>La empresa realizó inversión extranjera directa</t>
  </si>
  <si>
    <t>Monto de la inversión extranjera directa que la empresa realizó</t>
  </si>
  <si>
    <t>La empresa recibió inversión extranjera directa</t>
  </si>
  <si>
    <t>Monto de la inversión extranjera directa que la empresa recibió</t>
  </si>
  <si>
    <t>La empresa ha participado en licitaciones internacionales</t>
  </si>
  <si>
    <t>La empresa cuenta con plan de internacionacionalización</t>
  </si>
  <si>
    <t>La empresa cuenta con plan exportador/importador</t>
  </si>
  <si>
    <t>La empresa cuenta con capacidad de producción para exportar</t>
  </si>
  <si>
    <t>Licencias y Franquicias</t>
  </si>
  <si>
    <t>La empresa tiene modelo de franquicia</t>
  </si>
  <si>
    <t>La empresa cuenta con licencias (fabricación, distrubución, etc) en el exterior</t>
  </si>
  <si>
    <t>La empresa cuenta con franquicias en el exterior</t>
  </si>
  <si>
    <t>La empresa ha adquirido franquicias internacionales para operar en el mercado local</t>
  </si>
  <si>
    <t>La empresa cuenta con licencias (fabricación, distrubución, etc) de empresa extranjeras</t>
  </si>
  <si>
    <t>Potencial de internacionalización (modos de entrada)</t>
  </si>
  <si>
    <t>Forma en la que realizó la IED</t>
  </si>
  <si>
    <t>Greenfield</t>
  </si>
  <si>
    <t>Fusión</t>
  </si>
  <si>
    <t>Potencial de internacionalización (Producto/Servicio)</t>
  </si>
  <si>
    <t>2.1</t>
  </si>
  <si>
    <t>2.2</t>
  </si>
  <si>
    <t>2.3</t>
  </si>
  <si>
    <t>4.1</t>
  </si>
  <si>
    <t>4.2</t>
  </si>
  <si>
    <t>5.1</t>
  </si>
  <si>
    <t>La capacidad de producción actual permite atender una mayor demanda en mercados internacionales sin comprometer la calidad</t>
  </si>
  <si>
    <t>Ha realizado análisis de viabilidad de internacionalización de su producto o servicio</t>
  </si>
  <si>
    <t>Cuáles son las ventajas competitivas clave para el posicionamiento de su producto/servicio en el mercado internacional</t>
  </si>
  <si>
    <t>Competencia</t>
  </si>
  <si>
    <t>Tiene identificada la posición arancelaria de su producto</t>
  </si>
  <si>
    <t>2.4</t>
  </si>
  <si>
    <t>La empresa tiene definida su estructura organizacional</t>
  </si>
  <si>
    <t>La empresa cuenta con un departamento o dirección para los procesos de internacionalización</t>
  </si>
  <si>
    <t>Tecnología e innovación</t>
  </si>
  <si>
    <t>Alianzas estratégicas</t>
  </si>
  <si>
    <t>La empresa ha generado alianzas estratégicas con empresas internacionales</t>
  </si>
  <si>
    <t>Su organización posee patentes obtenidas o en proceso ante la oficina de registro?</t>
  </si>
  <si>
    <t>Los productos de su organización estan basados en licencias de tecnología?</t>
  </si>
  <si>
    <t>Los productos de su organización son desarrollos propios?</t>
  </si>
  <si>
    <t>Los desarrollos propios son suceptibles de protección?</t>
  </si>
  <si>
    <t>Programa de transferencia de conocimiento de representación/ formación fuera del país</t>
  </si>
  <si>
    <t>Total de empleados de la empresa</t>
  </si>
  <si>
    <t>Cantidad de empleados en el exterior</t>
  </si>
  <si>
    <t>Cantidad de empleados formados en el exterior</t>
  </si>
  <si>
    <t>Cantidad de empleados con competencia en segunda lengua</t>
  </si>
  <si>
    <t>Cantidad de empleados extranjeros</t>
  </si>
  <si>
    <t>Cantidad de empleados que participen o hayan participado en actividades empresariales en el exterior</t>
  </si>
  <si>
    <t>Cantidad de empleados con experiencia en operaciones internacionales</t>
  </si>
  <si>
    <t>La empresa cuenta con un plan de formación de talento humano / Incentivos en el exterior</t>
  </si>
  <si>
    <t>Finalidad de la importación</t>
  </si>
  <si>
    <t>Comercialización</t>
  </si>
  <si>
    <t>Abastecimiento</t>
  </si>
  <si>
    <t>1.1</t>
  </si>
  <si>
    <t>Ha recibido acompañamiento institucional para elaborar dicho plan</t>
  </si>
  <si>
    <t>Número de países de los que importa</t>
  </si>
  <si>
    <t>De qué forma ha exportado</t>
  </si>
  <si>
    <t>Número de países a los que exporta</t>
  </si>
  <si>
    <t>Número de países en los que invirtió en el exterior</t>
  </si>
  <si>
    <t>Número de países de los que recibió inversión</t>
  </si>
  <si>
    <t>Considera que el modelo de negocio podría convertirse en franquicia?</t>
  </si>
  <si>
    <t>Cómo se desarrolló</t>
  </si>
  <si>
    <t>Documentar</t>
  </si>
  <si>
    <t>Conoce los requerimientos locales para la salida de su producto</t>
  </si>
  <si>
    <t>Considera que su producto / servicio es fácilmente adaptable a mercados internacionales</t>
  </si>
  <si>
    <t>Precio</t>
  </si>
  <si>
    <t>Diferenciación</t>
  </si>
  <si>
    <t>Direccionamiento estratégico</t>
  </si>
  <si>
    <t xml:space="preserve">La empresa ha definido un plan estratégico de operación </t>
  </si>
  <si>
    <t>El plan estratégico de la empresa tiene alcance internacional.</t>
  </si>
  <si>
    <t>Sostenibilidad</t>
  </si>
  <si>
    <t>La empresa ha adquirido tecnología en el exterior</t>
  </si>
  <si>
    <t>La empresa realiza inversiones en tecnología e innovación</t>
  </si>
  <si>
    <t>La empresa ha participado en proyectos de innovación con empresas internacionales</t>
  </si>
  <si>
    <t>La empresa ha participado en proyectos de innovación con miras a la internacionalización</t>
  </si>
  <si>
    <t>La empresa realiza Investigación y Desarrollo de productos/servicios para ser internacionalizados</t>
  </si>
  <si>
    <t>La empresa ha recibido transferencia de conocimiento desde el exterior</t>
  </si>
  <si>
    <t>La empresa mide su huella de carbono</t>
  </si>
  <si>
    <t>La empresa cuenta con políticas de equidad de género</t>
  </si>
  <si>
    <t>La empresa cuenta con planes de responsabilidad social empresarial</t>
  </si>
  <si>
    <t>La empresa participa en iniciativas globales de sostenibilidad (pacto mundial, agenda 2030, ODS)</t>
  </si>
  <si>
    <t>La empresa realiza reporte de gestión considerando aspectos sociales, ambientales y económicos</t>
  </si>
  <si>
    <t>El producto / servicio de la empresa tiene enfoque de sostenibilidad</t>
  </si>
  <si>
    <t>6.1</t>
  </si>
  <si>
    <t>Cuenta con algun programa o inciativa de gestión de proveedores</t>
  </si>
  <si>
    <t>Cantidad de mujeres empleadas</t>
  </si>
  <si>
    <t>Cantidad de mujeres empleadas en cargos directivos</t>
  </si>
  <si>
    <t>Ponderación</t>
  </si>
  <si>
    <t>Resultado</t>
  </si>
  <si>
    <t>Resultado de Dimensión</t>
  </si>
  <si>
    <t>Porcentaje del presupuesto de la empresa que se destina a inversión en tecnología e innovación</t>
  </si>
  <si>
    <t>De acuerdo al tamaño de su empresa, la huella de carbono debería estar en este rango de toneladas de C02 al año. Indique sí está entre ese rango, por debajo o por encima del mismo.</t>
  </si>
  <si>
    <t>Estoy en el rango</t>
  </si>
  <si>
    <t>Estoy por debajo del rango</t>
  </si>
  <si>
    <t>Estoy por encima del rango</t>
  </si>
  <si>
    <t>Rango CO2</t>
  </si>
  <si>
    <t>Respuestas</t>
  </si>
  <si>
    <t>Direccionamiento Estratégico</t>
  </si>
  <si>
    <t>Tecnología e Innovación</t>
  </si>
  <si>
    <t>Potencial de internacionalización (Modos de entrada)</t>
  </si>
  <si>
    <t>6.2</t>
  </si>
  <si>
    <t>Directa</t>
  </si>
  <si>
    <t>Número de países desde los que importa</t>
  </si>
  <si>
    <t>1 a 3</t>
  </si>
  <si>
    <t>4 a 8</t>
  </si>
  <si>
    <t>9 o más</t>
  </si>
  <si>
    <t>Hasta 100.000 USD</t>
  </si>
  <si>
    <t>Entre 100.001 y 500.000 USD</t>
  </si>
  <si>
    <t>Más de 500.000 USD</t>
  </si>
  <si>
    <t>Adquisición</t>
  </si>
  <si>
    <t>¿Ganó alguno de los procesos de licitaciones internacionales en los que partició?</t>
  </si>
  <si>
    <t>Monto del proceso de licitación internacional que ganó</t>
  </si>
  <si>
    <t>Resultado de subimensión</t>
  </si>
  <si>
    <t>Dimensiones</t>
  </si>
  <si>
    <t>T.H</t>
  </si>
  <si>
    <t>D.E</t>
  </si>
  <si>
    <t>TeI</t>
  </si>
  <si>
    <t>S</t>
  </si>
  <si>
    <t xml:space="preserve">P.I </t>
  </si>
  <si>
    <t>IED</t>
  </si>
  <si>
    <t>LyF</t>
  </si>
  <si>
    <t>AE</t>
  </si>
  <si>
    <t>Prd.</t>
  </si>
  <si>
    <t xml:space="preserve">Potencial de internacionalización </t>
  </si>
  <si>
    <t>Potencial de internacionalización</t>
  </si>
  <si>
    <t>Alianzas Estratégicas</t>
  </si>
  <si>
    <t>Puntaje total del diagnóstico</t>
  </si>
  <si>
    <t>Puntaje Obtenido</t>
  </si>
  <si>
    <t>Puntaje Máximo</t>
  </si>
  <si>
    <t>Estandarización 1</t>
  </si>
  <si>
    <t>Estandarización 2</t>
  </si>
  <si>
    <t>Modos de entrada</t>
  </si>
  <si>
    <t>Producto/Servicio</t>
  </si>
  <si>
    <t>No realizo medición de CO2</t>
  </si>
  <si>
    <t>¿Cuáles con esas iniciativas globales de sostenibilidad en las que participa la empresa?</t>
  </si>
  <si>
    <t>¿Cómo se observa el enfoque de sostenibilidad en el producto / servicio de la empresa?</t>
  </si>
  <si>
    <t>No importa</t>
  </si>
  <si>
    <t>Ninguna</t>
  </si>
  <si>
    <t>¿Cuáles son las ventajas competitivas clave para el posicionamiento de su producto/servicio en el mercado internacional?</t>
  </si>
  <si>
    <t>¿Su organización posee patentes obtenidas o en proceso ante la oficina de registro?</t>
  </si>
  <si>
    <t>¿Los productos de su organización estan basados en licencias de tecnología?</t>
  </si>
  <si>
    <t>¿Los productos de su organización son desarrollos propios?</t>
  </si>
  <si>
    <t>¿Los desarrollos propios son suceptibles de protección?</t>
  </si>
  <si>
    <t>Expertos</t>
  </si>
  <si>
    <t>Profes</t>
  </si>
  <si>
    <t>Aliados</t>
  </si>
  <si>
    <t>Profes Externos</t>
  </si>
  <si>
    <t>Exportación e Importación (Bienes)</t>
  </si>
  <si>
    <t>Exportación (Servicios)</t>
  </si>
  <si>
    <t>¿La empresa exporta servicios?</t>
  </si>
  <si>
    <t>En qué modalidad</t>
  </si>
  <si>
    <t>1.2</t>
  </si>
  <si>
    <t>Está registrado como exportador de servicios</t>
  </si>
  <si>
    <t>Número de países a los que exporta servicios</t>
  </si>
  <si>
    <t>Comercio Transfronterizo</t>
  </si>
  <si>
    <t>Consumo en el Exterior</t>
  </si>
  <si>
    <t>Presencia Comercial</t>
  </si>
  <si>
    <t>Movimiento de Personas</t>
  </si>
  <si>
    <t>Expo (Bienes)</t>
  </si>
  <si>
    <t>Expo (servicios)</t>
  </si>
  <si>
    <t>Realiza venta de sus productos/servicios por medio de e-commerce?</t>
  </si>
  <si>
    <t>proveedores de asientos para motos en una empresa de republica dominica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</si>
</sst>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rgb="FF202124"/>
      <name val="Arial"/>
      <family val="2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9">
    <xf numFmtId="0" fontId="0" fillId="0" borderId="0" xfId="0"/>
    <xf numFmtId="0" fontId="1" fillId="0" borderId="0" xfId="0" applyFont="1" applyAlignment="1">
      <alignment horizontal="left"/>
    </xf>
    <xf numFmtId="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9" fontId="0" fillId="2" borderId="1" xfId="2" applyFont="1" applyFill="1" applyBorder="1"/>
    <xf numFmtId="164" fontId="0" fillId="0" borderId="0" xfId="0" applyNumberFormat="1"/>
    <xf numFmtId="164" fontId="1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164" fontId="0" fillId="4" borderId="1" xfId="2" applyNumberFormat="1" applyFont="1" applyFill="1" applyBorder="1"/>
    <xf numFmtId="9" fontId="0" fillId="4" borderId="1" xfId="2" applyFont="1" applyFill="1" applyBorder="1"/>
    <xf numFmtId="0" fontId="0" fillId="0" borderId="0" xfId="0" applyAlignment="1">
      <alignment wrapText="1"/>
    </xf>
    <xf numFmtId="164" fontId="0" fillId="0" borderId="1" xfId="2" applyNumberFormat="1" applyFont="1" applyBorder="1"/>
    <xf numFmtId="0" fontId="0" fillId="5" borderId="1" xfId="0" applyFill="1" applyBorder="1" applyAlignment="1">
      <alignment horizontal="center"/>
    </xf>
    <xf numFmtId="9" fontId="0" fillId="5" borderId="1" xfId="2" applyFont="1" applyFill="1" applyBorder="1" applyAlignment="1">
      <alignment horizontal="center"/>
    </xf>
    <xf numFmtId="0" fontId="0" fillId="6" borderId="0" xfId="0" applyFill="1"/>
    <xf numFmtId="0" fontId="1" fillId="6" borderId="1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43" fontId="0" fillId="6" borderId="0" xfId="1" applyFont="1" applyFill="1"/>
    <xf numFmtId="9" fontId="0" fillId="6" borderId="0" xfId="2" applyFont="1" applyFill="1"/>
    <xf numFmtId="0" fontId="0" fillId="6" borderId="0" xfId="0" applyFill="1" applyAlignment="1">
      <alignment horizontal="left"/>
    </xf>
    <xf numFmtId="0" fontId="0" fillId="6" borderId="0" xfId="0" applyFill="1" applyAlignment="1">
      <alignment horizontal="center"/>
    </xf>
    <xf numFmtId="164" fontId="0" fillId="6" borderId="0" xfId="0" applyNumberFormat="1" applyFill="1"/>
    <xf numFmtId="9" fontId="1" fillId="6" borderId="0" xfId="0" applyNumberFormat="1" applyFont="1" applyFill="1"/>
    <xf numFmtId="9" fontId="0" fillId="6" borderId="0" xfId="0" applyNumberFormat="1" applyFill="1"/>
    <xf numFmtId="0" fontId="0" fillId="6" borderId="1" xfId="0" applyFill="1" applyBorder="1" applyAlignment="1">
      <alignment wrapText="1"/>
    </xf>
    <xf numFmtId="0" fontId="0" fillId="6" borderId="1" xfId="0" applyFill="1" applyBorder="1" applyAlignment="1">
      <alignment horizontal="left" vertical="center"/>
    </xf>
    <xf numFmtId="0" fontId="0" fillId="7" borderId="1" xfId="1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6" borderId="1" xfId="0" applyFill="1" applyBorder="1" applyAlignment="1">
      <alignment vertical="center"/>
    </xf>
    <xf numFmtId="9" fontId="0" fillId="2" borderId="1" xfId="2" applyFont="1" applyFill="1" applyBorder="1" applyAlignment="1">
      <alignment vertical="center"/>
    </xf>
    <xf numFmtId="9" fontId="0" fillId="0" borderId="1" xfId="2" applyFont="1" applyBorder="1" applyAlignment="1">
      <alignment vertical="center"/>
    </xf>
    <xf numFmtId="164" fontId="0" fillId="0" borderId="1" xfId="2" applyNumberFormat="1" applyFont="1" applyBorder="1" applyAlignment="1">
      <alignment vertical="center"/>
    </xf>
    <xf numFmtId="9" fontId="4" fillId="8" borderId="1" xfId="2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9" fontId="0" fillId="2" borderId="4" xfId="2" applyFont="1" applyFill="1" applyBorder="1"/>
    <xf numFmtId="164" fontId="0" fillId="0" borderId="4" xfId="2" applyNumberFormat="1" applyFont="1" applyBorder="1"/>
    <xf numFmtId="10" fontId="3" fillId="6" borderId="0" xfId="0" applyNumberFormat="1" applyFont="1" applyFill="1"/>
    <xf numFmtId="10" fontId="3" fillId="6" borderId="1" xfId="0" applyNumberFormat="1" applyFont="1" applyFill="1" applyBorder="1"/>
    <xf numFmtId="0" fontId="1" fillId="9" borderId="1" xfId="0" applyFont="1" applyFill="1" applyBorder="1" applyAlignment="1">
      <alignment horizontal="left"/>
    </xf>
    <xf numFmtId="10" fontId="1" fillId="9" borderId="1" xfId="0" applyNumberFormat="1" applyFont="1" applyFill="1" applyBorder="1"/>
    <xf numFmtId="0" fontId="1" fillId="10" borderId="1" xfId="0" applyFont="1" applyFill="1" applyBorder="1" applyAlignment="1">
      <alignment horizontal="left"/>
    </xf>
    <xf numFmtId="10" fontId="1" fillId="10" borderId="1" xfId="0" applyNumberFormat="1" applyFont="1" applyFill="1" applyBorder="1"/>
    <xf numFmtId="0" fontId="1" fillId="11" borderId="1" xfId="0" applyFont="1" applyFill="1" applyBorder="1" applyAlignment="1">
      <alignment horizontal="left"/>
    </xf>
    <xf numFmtId="10" fontId="1" fillId="11" borderId="1" xfId="0" applyNumberFormat="1" applyFont="1" applyFill="1" applyBorder="1"/>
    <xf numFmtId="0" fontId="1" fillId="12" borderId="1" xfId="0" applyFont="1" applyFill="1" applyBorder="1" applyAlignment="1">
      <alignment horizontal="left"/>
    </xf>
    <xf numFmtId="10" fontId="1" fillId="12" borderId="1" xfId="0" applyNumberFormat="1" applyFont="1" applyFill="1" applyBorder="1"/>
    <xf numFmtId="0" fontId="1" fillId="13" borderId="1" xfId="0" applyFont="1" applyFill="1" applyBorder="1" applyAlignment="1">
      <alignment horizontal="left"/>
    </xf>
    <xf numFmtId="10" fontId="1" fillId="13" borderId="1" xfId="0" applyNumberFormat="1" applyFont="1" applyFill="1" applyBorder="1"/>
    <xf numFmtId="0" fontId="1" fillId="14" borderId="1" xfId="0" applyFont="1" applyFill="1" applyBorder="1" applyAlignment="1">
      <alignment horizontal="left" indent="1"/>
    </xf>
    <xf numFmtId="10" fontId="1" fillId="14" borderId="1" xfId="0" applyNumberFormat="1" applyFont="1" applyFill="1" applyBorder="1"/>
    <xf numFmtId="0" fontId="1" fillId="15" borderId="1" xfId="0" applyFont="1" applyFill="1" applyBorder="1" applyAlignment="1">
      <alignment horizontal="left" indent="2"/>
    </xf>
    <xf numFmtId="10" fontId="1" fillId="15" borderId="1" xfId="0" applyNumberFormat="1" applyFont="1" applyFill="1" applyBorder="1"/>
    <xf numFmtId="0" fontId="5" fillId="6" borderId="0" xfId="0" applyFont="1" applyFill="1"/>
    <xf numFmtId="0" fontId="8" fillId="6" borderId="0" xfId="0" applyFont="1" applyFill="1"/>
    <xf numFmtId="9" fontId="5" fillId="6" borderId="0" xfId="2" applyFont="1" applyFill="1" applyBorder="1"/>
    <xf numFmtId="0" fontId="4" fillId="8" borderId="1" xfId="0" applyFont="1" applyFill="1" applyBorder="1" applyAlignment="1">
      <alignment horizontal="center" wrapText="1"/>
    </xf>
    <xf numFmtId="0" fontId="9" fillId="0" borderId="0" xfId="0" applyFont="1" applyAlignment="1">
      <alignment horizontal="left" vertical="center"/>
    </xf>
    <xf numFmtId="9" fontId="0" fillId="2" borderId="7" xfId="2" applyFont="1" applyFill="1" applyBorder="1"/>
    <xf numFmtId="164" fontId="0" fillId="0" borderId="7" xfId="2" applyNumberFormat="1" applyFont="1" applyBorder="1"/>
    <xf numFmtId="0" fontId="10" fillId="6" borderId="0" xfId="0" applyFont="1" applyFill="1"/>
    <xf numFmtId="10" fontId="10" fillId="6" borderId="0" xfId="2" applyNumberFormat="1" applyFont="1" applyFill="1"/>
    <xf numFmtId="164" fontId="10" fillId="6" borderId="0" xfId="0" applyNumberFormat="1" applyFont="1" applyFill="1"/>
    <xf numFmtId="9" fontId="10" fillId="6" borderId="0" xfId="2" applyFont="1" applyFill="1"/>
    <xf numFmtId="0" fontId="1" fillId="6" borderId="4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164" fontId="4" fillId="3" borderId="1" xfId="2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4" fillId="3" borderId="4" xfId="2" applyFont="1" applyFill="1" applyBorder="1" applyAlignment="1">
      <alignment horizontal="center" vertical="center"/>
    </xf>
    <xf numFmtId="9" fontId="4" fillId="3" borderId="5" xfId="2" applyFont="1" applyFill="1" applyBorder="1" applyAlignment="1">
      <alignment horizontal="center" vertical="center"/>
    </xf>
    <xf numFmtId="9" fontId="4" fillId="3" borderId="6" xfId="2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left" vertical="center"/>
    </xf>
    <xf numFmtId="9" fontId="3" fillId="0" borderId="1" xfId="0" applyNumberFormat="1" applyFont="1" applyBorder="1" applyAlignment="1">
      <alignment horizontal="center" vertical="center"/>
    </xf>
    <xf numFmtId="9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4" fillId="8" borderId="4" xfId="0" applyNumberFormat="1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9" fontId="4" fillId="8" borderId="1" xfId="2" applyFont="1" applyFill="1" applyBorder="1" applyAlignment="1">
      <alignment horizontal="center" vertical="center"/>
    </xf>
    <xf numFmtId="9" fontId="6" fillId="3" borderId="4" xfId="0" applyNumberFormat="1" applyFont="1" applyFill="1" applyBorder="1" applyAlignment="1">
      <alignment horizontal="center" vertical="center"/>
    </xf>
    <xf numFmtId="9" fontId="6" fillId="3" borderId="5" xfId="0" applyNumberFormat="1" applyFont="1" applyFill="1" applyBorder="1" applyAlignment="1">
      <alignment horizontal="center" vertical="center"/>
    </xf>
    <xf numFmtId="9" fontId="6" fillId="3" borderId="6" xfId="0" applyNumberFormat="1" applyFont="1" applyFill="1" applyBorder="1" applyAlignment="1">
      <alignment horizontal="center" vertical="center"/>
    </xf>
    <xf numFmtId="9" fontId="3" fillId="0" borderId="5" xfId="0" applyNumberFormat="1" applyFont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9" fontId="4" fillId="8" borderId="4" xfId="2" applyFont="1" applyFill="1" applyBorder="1" applyAlignment="1">
      <alignment horizontal="center" vertical="center"/>
    </xf>
    <xf numFmtId="9" fontId="4" fillId="8" borderId="5" xfId="2" applyFont="1" applyFill="1" applyBorder="1" applyAlignment="1">
      <alignment horizontal="center" vertical="center"/>
    </xf>
    <xf numFmtId="9" fontId="4" fillId="8" borderId="6" xfId="2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left"/>
    </xf>
    <xf numFmtId="0" fontId="1" fillId="6" borderId="7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Diagnóstico completo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23964996548079848"/>
          <c:y val="0.21905332980985165"/>
          <c:w val="0.53503644420595486"/>
          <c:h val="0.6708263578765713"/>
        </c:manualLayout>
      </c:layout>
      <c:radarChart>
        <c:radarStyle val="marker"/>
        <c:varyColors val="0"/>
        <c:ser>
          <c:idx val="0"/>
          <c:order val="0"/>
          <c:tx>
            <c:strRef>
              <c:f>Resultados!$E$4</c:f>
              <c:strCache>
                <c:ptCount val="1"/>
                <c:pt idx="0">
                  <c:v>Estandarización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Resultados!$B$5:$B$9</c:f>
              <c:strCache>
                <c:ptCount val="5"/>
                <c:pt idx="0">
                  <c:v>Talento Humano</c:v>
                </c:pt>
                <c:pt idx="1">
                  <c:v>Direccionamiento estratégico</c:v>
                </c:pt>
                <c:pt idx="2">
                  <c:v>Tecnología e innovación</c:v>
                </c:pt>
                <c:pt idx="3">
                  <c:v>Sostenibilidad</c:v>
                </c:pt>
                <c:pt idx="4">
                  <c:v>Potencial de internacionalización </c:v>
                </c:pt>
              </c:strCache>
            </c:strRef>
          </c:cat>
          <c:val>
            <c:numRef>
              <c:f>Resultados!$E$5:$E$9</c:f>
              <c:numCache>
                <c:formatCode>0%</c:formatCode>
                <c:ptCount val="5"/>
                <c:pt idx="0">
                  <c:v>5.5555555555555556E-4</c:v>
                </c:pt>
                <c:pt idx="1">
                  <c:v>1</c:v>
                </c:pt>
                <c:pt idx="2">
                  <c:v>0.29166666666666669</c:v>
                </c:pt>
                <c:pt idx="3">
                  <c:v>0.41264550264550265</c:v>
                </c:pt>
                <c:pt idx="4">
                  <c:v>0.43908333333333333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7-4C3E-8147-BB3263AF2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402992"/>
        <c:axId val="360378736"/>
      </c:radarChart>
      <c:catAx>
        <c:axId val="43640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0378736"/>
        <c:crosses val="autoZero"/>
        <c:auto val="1"/>
        <c:lblAlgn val="ctr"/>
        <c:lblOffset val="100"/>
        <c:noMultiLvlLbl val="0"/>
      </c:catAx>
      <c:valAx>
        <c:axId val="3603787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640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Potencial de Internacionalización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23036116479470592"/>
          <c:y val="0.1890449884438698"/>
          <c:w val="0.56011782957828904"/>
          <c:h val="0.72296163612887043"/>
        </c:manualLayout>
      </c:layout>
      <c:radarChart>
        <c:radarStyle val="marker"/>
        <c:varyColors val="0"/>
        <c:ser>
          <c:idx val="0"/>
          <c:order val="0"/>
          <c:tx>
            <c:strRef>
              <c:f>Resultados!$E$4</c:f>
              <c:strCache>
                <c:ptCount val="1"/>
                <c:pt idx="0">
                  <c:v>Estandarización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Resultados!$B$11:$B$16</c:f>
              <c:strCache>
                <c:ptCount val="6"/>
                <c:pt idx="0">
                  <c:v>Exportación e Importación (Bienes)</c:v>
                </c:pt>
                <c:pt idx="1">
                  <c:v>Exportación (Servicios)</c:v>
                </c:pt>
                <c:pt idx="2">
                  <c:v>Inversión Extranjera Directa</c:v>
                </c:pt>
                <c:pt idx="3">
                  <c:v>Licencias y Franquicias</c:v>
                </c:pt>
                <c:pt idx="4">
                  <c:v>Alianzas Estratégicas</c:v>
                </c:pt>
                <c:pt idx="5">
                  <c:v>Producto/Servicio</c:v>
                </c:pt>
              </c:strCache>
            </c:strRef>
          </c:cat>
          <c:val>
            <c:numRef>
              <c:f>Resultados!$E$11:$E$16</c:f>
              <c:numCache>
                <c:formatCode>0%</c:formatCode>
                <c:ptCount val="6"/>
                <c:pt idx="0">
                  <c:v>0.7</c:v>
                </c:pt>
                <c:pt idx="1">
                  <c:v>4.1666666666666664E-2</c:v>
                </c:pt>
                <c:pt idx="2">
                  <c:v>0.125</c:v>
                </c:pt>
                <c:pt idx="3">
                  <c:v>0</c:v>
                </c:pt>
                <c:pt idx="4">
                  <c:v>1</c:v>
                </c:pt>
                <c:pt idx="5">
                  <c:v>0.609375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4-4E60-8D2C-5440D3DB0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402992"/>
        <c:axId val="360378736"/>
      </c:radarChart>
      <c:catAx>
        <c:axId val="43640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0378736"/>
        <c:crosses val="autoZero"/>
        <c:auto val="1"/>
        <c:lblAlgn val="ctr"/>
        <c:lblOffset val="100"/>
        <c:noMultiLvlLbl val="0"/>
      </c:catAx>
      <c:valAx>
        <c:axId val="3603787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640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102747</xdr:colOff>
      <xdr:row>2</xdr:row>
      <xdr:rowOff>112020</xdr:rowOff>
    </xdr:from>
    <xdr:to>
      <xdr:col>7</xdr:col>
      <xdr:colOff>392207</xdr:colOff>
      <xdr:row>16</xdr:row>
      <xdr:rowOff>212911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ABB613D-7CDE-D31F-7944-AE464641F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470648</xdr:colOff>
      <xdr:row>3</xdr:row>
      <xdr:rowOff>765</xdr:rowOff>
    </xdr:from>
    <xdr:to>
      <xdr:col>13</xdr:col>
      <xdr:colOff>324972</xdr:colOff>
      <xdr:row>16</xdr:row>
      <xdr:rowOff>201707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2773407-2564-4C2A-BF79-7679916832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7C90-DC3A-45B2-8CD3-4E7274FAE8EB}">
  <dimension ref="A3:J97"/>
  <sheetViews>
    <sheetView showGridLines="0" zoomScale="125" zoomScaleNormal="110" zoomScaleSheetLayoutView="50" workbookViewId="0">
      <selection activeCell="D87" sqref="D87"/>
    </sheetView>
  </sheetViews>
  <sheetFormatPr baseColWidth="10" defaultColWidth="11.5" defaultRowHeight="15" x14ac:dyDescent="0.2"/>
  <cols>
    <col min="1" max="1" width="3.5" style="17" customWidth="1"/>
    <col min="2" max="2" width="5" style="25" customWidth="1"/>
    <col min="3" max="3" width="116.1640625" style="17" customWidth="1"/>
    <col min="4" max="4" width="17.33203125" style="26" customWidth="1"/>
    <col min="5" max="5" width="16.5" style="17" customWidth="1"/>
    <col min="6" max="6" width="3.5" style="17" customWidth="1"/>
    <col min="7" max="7" width="3" style="17" customWidth="1"/>
    <col min="8" max="8" width="11.5" style="17"/>
    <col min="9" max="9" width="5" style="17" customWidth="1"/>
    <col min="10" max="16384" width="11.5" style="17"/>
  </cols>
  <sheetData>
    <row r="3" spans="1:10" ht="16" x14ac:dyDescent="0.2">
      <c r="B3" s="75" t="s">
        <v>0</v>
      </c>
      <c r="C3" s="75"/>
      <c r="D3" s="19" t="s">
        <v>107</v>
      </c>
    </row>
    <row r="4" spans="1:10" x14ac:dyDescent="0.2">
      <c r="B4" s="20">
        <v>1</v>
      </c>
      <c r="C4" s="21" t="s">
        <v>53</v>
      </c>
      <c r="D4" s="15">
        <v>450</v>
      </c>
      <c r="I4" s="23"/>
    </row>
    <row r="5" spans="1:10" x14ac:dyDescent="0.2">
      <c r="B5" s="20">
        <v>2</v>
      </c>
      <c r="C5" s="21" t="s">
        <v>54</v>
      </c>
      <c r="D5" s="15">
        <v>0</v>
      </c>
      <c r="E5" s="24"/>
      <c r="J5" s="24"/>
    </row>
    <row r="6" spans="1:10" x14ac:dyDescent="0.2">
      <c r="B6" s="20">
        <v>3</v>
      </c>
      <c r="C6" s="21" t="s">
        <v>55</v>
      </c>
      <c r="D6" s="15">
        <v>0</v>
      </c>
      <c r="E6" s="24"/>
    </row>
    <row r="7" spans="1:10" x14ac:dyDescent="0.2">
      <c r="B7" s="20">
        <v>4</v>
      </c>
      <c r="C7" s="21" t="s">
        <v>56</v>
      </c>
      <c r="D7" s="15">
        <v>0</v>
      </c>
      <c r="E7" s="24"/>
    </row>
    <row r="8" spans="1:10" x14ac:dyDescent="0.2">
      <c r="B8" s="20">
        <v>5</v>
      </c>
      <c r="C8" s="21" t="s">
        <v>57</v>
      </c>
      <c r="D8" s="15">
        <v>0</v>
      </c>
      <c r="E8" s="24"/>
    </row>
    <row r="9" spans="1:10" x14ac:dyDescent="0.2">
      <c r="B9" s="20">
        <v>6</v>
      </c>
      <c r="C9" s="21" t="s">
        <v>58</v>
      </c>
      <c r="D9" s="15">
        <v>1</v>
      </c>
      <c r="E9" s="24"/>
    </row>
    <row r="10" spans="1:10" x14ac:dyDescent="0.2">
      <c r="B10" s="20">
        <v>7</v>
      </c>
      <c r="C10" s="21" t="s">
        <v>52</v>
      </c>
      <c r="D10" s="15" t="s">
        <v>3</v>
      </c>
    </row>
    <row r="11" spans="1:10" x14ac:dyDescent="0.2">
      <c r="B11" s="20">
        <v>8</v>
      </c>
      <c r="C11" s="21" t="s">
        <v>59</v>
      </c>
      <c r="D11" s="15">
        <v>1</v>
      </c>
      <c r="E11" s="24"/>
    </row>
    <row r="12" spans="1:10" x14ac:dyDescent="0.2">
      <c r="B12" s="20">
        <v>9</v>
      </c>
      <c r="C12" s="21" t="s">
        <v>60</v>
      </c>
      <c r="D12" s="15" t="s">
        <v>3</v>
      </c>
    </row>
    <row r="13" spans="1:10" x14ac:dyDescent="0.2">
      <c r="H13" s="24"/>
    </row>
    <row r="14" spans="1:10" ht="16" x14ac:dyDescent="0.2">
      <c r="A14" s="27"/>
      <c r="B14" s="75" t="s">
        <v>108</v>
      </c>
      <c r="C14" s="75"/>
      <c r="D14" s="19" t="s">
        <v>107</v>
      </c>
    </row>
    <row r="15" spans="1:10" x14ac:dyDescent="0.2">
      <c r="B15" s="20">
        <v>1</v>
      </c>
      <c r="C15" s="21" t="s">
        <v>43</v>
      </c>
      <c r="D15" s="15" t="s">
        <v>2</v>
      </c>
    </row>
    <row r="16" spans="1:10" x14ac:dyDescent="0.2">
      <c r="B16" s="20">
        <v>2</v>
      </c>
      <c r="C16" s="21" t="s">
        <v>79</v>
      </c>
      <c r="D16" s="15" t="s">
        <v>2</v>
      </c>
    </row>
    <row r="17" spans="1:5" x14ac:dyDescent="0.2">
      <c r="B17" s="20" t="s">
        <v>31</v>
      </c>
      <c r="C17" s="21" t="s">
        <v>80</v>
      </c>
      <c r="D17" s="15" t="s">
        <v>2</v>
      </c>
    </row>
    <row r="18" spans="1:5" x14ac:dyDescent="0.2">
      <c r="B18" s="20">
        <v>3</v>
      </c>
      <c r="C18" s="21" t="s">
        <v>44</v>
      </c>
      <c r="D18" s="15" t="s">
        <v>2</v>
      </c>
    </row>
    <row r="20" spans="1:5" ht="16" x14ac:dyDescent="0.2">
      <c r="A20" s="28"/>
      <c r="B20" s="75" t="s">
        <v>109</v>
      </c>
      <c r="C20" s="75"/>
      <c r="D20" s="18" t="s">
        <v>107</v>
      </c>
    </row>
    <row r="21" spans="1:5" x14ac:dyDescent="0.2">
      <c r="B21" s="20">
        <v>1</v>
      </c>
      <c r="C21" s="21" t="s">
        <v>84</v>
      </c>
      <c r="D21" s="15" t="s">
        <v>3</v>
      </c>
    </row>
    <row r="22" spans="1:5" x14ac:dyDescent="0.2">
      <c r="B22" s="20">
        <v>2</v>
      </c>
      <c r="C22" s="21" t="s">
        <v>85</v>
      </c>
      <c r="D22" s="15" t="s">
        <v>3</v>
      </c>
    </row>
    <row r="23" spans="1:5" x14ac:dyDescent="0.2">
      <c r="B23" s="20">
        <v>3</v>
      </c>
      <c r="C23" s="21" t="s">
        <v>86</v>
      </c>
      <c r="D23" s="15" t="s">
        <v>2</v>
      </c>
    </row>
    <row r="24" spans="1:5" x14ac:dyDescent="0.2">
      <c r="B24" s="20">
        <v>4</v>
      </c>
      <c r="C24" s="21" t="s">
        <v>82</v>
      </c>
      <c r="D24" s="15" t="s">
        <v>3</v>
      </c>
    </row>
    <row r="25" spans="1:5" x14ac:dyDescent="0.2">
      <c r="B25" s="20">
        <v>5</v>
      </c>
      <c r="C25" s="21" t="s">
        <v>83</v>
      </c>
      <c r="D25" s="15" t="s">
        <v>2</v>
      </c>
    </row>
    <row r="26" spans="1:5" x14ac:dyDescent="0.2">
      <c r="B26" s="20" t="s">
        <v>36</v>
      </c>
      <c r="C26" s="21" t="s">
        <v>101</v>
      </c>
      <c r="D26" s="16">
        <v>0.6</v>
      </c>
    </row>
    <row r="27" spans="1:5" x14ac:dyDescent="0.2">
      <c r="B27" s="20">
        <v>6</v>
      </c>
      <c r="C27" s="21" t="s">
        <v>87</v>
      </c>
      <c r="D27" s="15" t="s">
        <v>3</v>
      </c>
    </row>
    <row r="29" spans="1:5" ht="16" x14ac:dyDescent="0.2">
      <c r="A29" s="28"/>
      <c r="B29" s="75" t="s">
        <v>81</v>
      </c>
      <c r="C29" s="75"/>
      <c r="D29" s="18" t="s">
        <v>107</v>
      </c>
    </row>
    <row r="30" spans="1:5" x14ac:dyDescent="0.2">
      <c r="B30" s="20">
        <v>1</v>
      </c>
      <c r="C30" s="21" t="s">
        <v>88</v>
      </c>
      <c r="D30" s="15" t="s">
        <v>2</v>
      </c>
    </row>
    <row r="31" spans="1:5" ht="32" x14ac:dyDescent="0.2">
      <c r="B31" s="31" t="s">
        <v>64</v>
      </c>
      <c r="C31" s="30" t="s">
        <v>102</v>
      </c>
      <c r="D31" s="33" t="s">
        <v>105</v>
      </c>
      <c r="E31" s="32">
        <f>+IF($D$4&lt;=10,"1 a 5",IF($D$4&lt;=50,"5 a 20",IF($D$4&lt;=200,"20 a 100",0)))</f>
        <v>0</v>
      </c>
    </row>
    <row r="32" spans="1:5" x14ac:dyDescent="0.2">
      <c r="B32" s="20">
        <v>2</v>
      </c>
      <c r="C32" s="21" t="s">
        <v>89</v>
      </c>
      <c r="D32" s="15" t="s">
        <v>2</v>
      </c>
    </row>
    <row r="33" spans="1:4" x14ac:dyDescent="0.2">
      <c r="B33" s="20" t="s">
        <v>31</v>
      </c>
      <c r="C33" s="21" t="s">
        <v>96</v>
      </c>
      <c r="D33" s="15">
        <v>5</v>
      </c>
    </row>
    <row r="34" spans="1:4" x14ac:dyDescent="0.2">
      <c r="B34" s="20" t="s">
        <v>32</v>
      </c>
      <c r="C34" s="21" t="s">
        <v>97</v>
      </c>
      <c r="D34" s="15">
        <v>2</v>
      </c>
    </row>
    <row r="35" spans="1:4" x14ac:dyDescent="0.2">
      <c r="B35" s="20">
        <v>3</v>
      </c>
      <c r="C35" s="21" t="s">
        <v>90</v>
      </c>
      <c r="D35" s="15" t="s">
        <v>2</v>
      </c>
    </row>
    <row r="36" spans="1:4" x14ac:dyDescent="0.2">
      <c r="B36" s="20">
        <v>4</v>
      </c>
      <c r="C36" s="21" t="s">
        <v>91</v>
      </c>
      <c r="D36" s="15" t="s">
        <v>3</v>
      </c>
    </row>
    <row r="37" spans="1:4" x14ac:dyDescent="0.2">
      <c r="B37" s="20" t="s">
        <v>34</v>
      </c>
      <c r="C37" s="21" t="s">
        <v>145</v>
      </c>
      <c r="D37" s="15" t="s">
        <v>73</v>
      </c>
    </row>
    <row r="38" spans="1:4" x14ac:dyDescent="0.2">
      <c r="B38" s="20">
        <v>5</v>
      </c>
      <c r="C38" s="21" t="s">
        <v>92</v>
      </c>
      <c r="D38" s="15" t="s">
        <v>3</v>
      </c>
    </row>
    <row r="39" spans="1:4" x14ac:dyDescent="0.2">
      <c r="B39" s="20">
        <v>6</v>
      </c>
      <c r="C39" s="21" t="s">
        <v>93</v>
      </c>
      <c r="D39" s="15" t="s">
        <v>2</v>
      </c>
    </row>
    <row r="40" spans="1:4" x14ac:dyDescent="0.2">
      <c r="B40" s="20" t="s">
        <v>94</v>
      </c>
      <c r="C40" s="21" t="s">
        <v>146</v>
      </c>
      <c r="D40" s="15" t="s">
        <v>73</v>
      </c>
    </row>
    <row r="41" spans="1:4" x14ac:dyDescent="0.2">
      <c r="B41" s="20">
        <v>7</v>
      </c>
      <c r="C41" s="21" t="s">
        <v>95</v>
      </c>
      <c r="D41" s="15" t="s">
        <v>3</v>
      </c>
    </row>
    <row r="43" spans="1:4" x14ac:dyDescent="0.2">
      <c r="A43" s="29"/>
      <c r="B43" s="75" t="s">
        <v>26</v>
      </c>
      <c r="C43" s="75"/>
      <c r="D43" s="72" t="s">
        <v>107</v>
      </c>
    </row>
    <row r="44" spans="1:4" x14ac:dyDescent="0.2">
      <c r="B44" s="74" t="s">
        <v>158</v>
      </c>
      <c r="C44" s="74"/>
      <c r="D44" s="73"/>
    </row>
    <row r="45" spans="1:4" x14ac:dyDescent="0.2">
      <c r="B45" s="20">
        <v>1</v>
      </c>
      <c r="C45" s="21" t="s">
        <v>18</v>
      </c>
      <c r="D45" s="15" t="s">
        <v>2</v>
      </c>
    </row>
    <row r="46" spans="1:4" x14ac:dyDescent="0.2">
      <c r="B46" s="20" t="s">
        <v>64</v>
      </c>
      <c r="C46" s="21" t="s">
        <v>65</v>
      </c>
      <c r="D46" s="15" t="s">
        <v>3</v>
      </c>
    </row>
    <row r="47" spans="1:4" x14ac:dyDescent="0.2">
      <c r="B47" s="20">
        <v>2</v>
      </c>
      <c r="C47" s="21" t="s">
        <v>1</v>
      </c>
      <c r="D47" s="15" t="s">
        <v>2</v>
      </c>
    </row>
    <row r="48" spans="1:4" x14ac:dyDescent="0.2">
      <c r="B48" s="20" t="s">
        <v>31</v>
      </c>
      <c r="C48" s="21" t="s">
        <v>67</v>
      </c>
      <c r="D48" s="22" t="s">
        <v>112</v>
      </c>
    </row>
    <row r="49" spans="2:4" x14ac:dyDescent="0.2">
      <c r="B49" s="20" t="s">
        <v>32</v>
      </c>
      <c r="C49" s="21" t="s">
        <v>6</v>
      </c>
      <c r="D49" s="15" t="s">
        <v>2</v>
      </c>
    </row>
    <row r="50" spans="2:4" x14ac:dyDescent="0.2">
      <c r="B50" s="20" t="s">
        <v>33</v>
      </c>
      <c r="C50" s="21" t="s">
        <v>19</v>
      </c>
      <c r="D50" s="15" t="s">
        <v>2</v>
      </c>
    </row>
    <row r="51" spans="2:4" x14ac:dyDescent="0.2">
      <c r="B51" s="20">
        <v>3</v>
      </c>
      <c r="C51" s="21" t="s">
        <v>68</v>
      </c>
      <c r="D51" s="22" t="s">
        <v>114</v>
      </c>
    </row>
    <row r="52" spans="2:4" x14ac:dyDescent="0.2">
      <c r="B52" s="20">
        <v>4</v>
      </c>
      <c r="C52" s="21" t="s">
        <v>4</v>
      </c>
      <c r="D52" s="15" t="s">
        <v>2</v>
      </c>
    </row>
    <row r="53" spans="2:4" x14ac:dyDescent="0.2">
      <c r="B53" s="20" t="s">
        <v>34</v>
      </c>
      <c r="C53" s="21" t="s">
        <v>7</v>
      </c>
      <c r="D53" s="15" t="s">
        <v>2</v>
      </c>
    </row>
    <row r="54" spans="2:4" x14ac:dyDescent="0.2">
      <c r="B54" s="20" t="s">
        <v>35</v>
      </c>
      <c r="C54" s="21" t="s">
        <v>61</v>
      </c>
      <c r="D54" s="22" t="s">
        <v>63</v>
      </c>
    </row>
    <row r="55" spans="2:4" x14ac:dyDescent="0.2">
      <c r="B55" s="20">
        <v>5</v>
      </c>
      <c r="C55" s="21" t="s">
        <v>66</v>
      </c>
      <c r="D55" s="22" t="s">
        <v>114</v>
      </c>
    </row>
    <row r="56" spans="2:4" x14ac:dyDescent="0.2">
      <c r="B56" s="74" t="s">
        <v>159</v>
      </c>
      <c r="C56" s="74"/>
      <c r="D56" s="22"/>
    </row>
    <row r="57" spans="2:4" x14ac:dyDescent="0.2">
      <c r="B57" s="20">
        <v>1</v>
      </c>
      <c r="C57" s="21" t="s">
        <v>160</v>
      </c>
      <c r="D57" s="15" t="s">
        <v>3</v>
      </c>
    </row>
    <row r="58" spans="2:4" x14ac:dyDescent="0.2">
      <c r="B58" s="20" t="s">
        <v>64</v>
      </c>
      <c r="C58" s="21" t="s">
        <v>161</v>
      </c>
      <c r="D58" s="22" t="s">
        <v>165</v>
      </c>
    </row>
    <row r="59" spans="2:4" x14ac:dyDescent="0.2">
      <c r="B59" s="20" t="s">
        <v>162</v>
      </c>
      <c r="C59" s="21" t="s">
        <v>163</v>
      </c>
      <c r="D59" s="15" t="s">
        <v>3</v>
      </c>
    </row>
    <row r="60" spans="2:4" x14ac:dyDescent="0.2">
      <c r="B60" s="20">
        <v>2</v>
      </c>
      <c r="C60" s="21" t="s">
        <v>164</v>
      </c>
      <c r="D60" s="22">
        <v>0</v>
      </c>
    </row>
    <row r="61" spans="2:4" ht="16" x14ac:dyDescent="0.2">
      <c r="B61" s="74" t="s">
        <v>9</v>
      </c>
      <c r="C61" s="74"/>
      <c r="D61" s="18" t="s">
        <v>107</v>
      </c>
    </row>
    <row r="62" spans="2:4" x14ac:dyDescent="0.2">
      <c r="B62" s="20">
        <v>1</v>
      </c>
      <c r="C62" s="21" t="s">
        <v>17</v>
      </c>
      <c r="D62" s="15" t="s">
        <v>3</v>
      </c>
    </row>
    <row r="63" spans="2:4" x14ac:dyDescent="0.2">
      <c r="B63" s="20">
        <v>2</v>
      </c>
      <c r="C63" s="21" t="s">
        <v>10</v>
      </c>
      <c r="D63" s="15" t="s">
        <v>3</v>
      </c>
    </row>
    <row r="64" spans="2:4" x14ac:dyDescent="0.2">
      <c r="B64" s="20">
        <v>3</v>
      </c>
      <c r="C64" s="21" t="s">
        <v>11</v>
      </c>
      <c r="D64" s="15" t="s">
        <v>2</v>
      </c>
    </row>
    <row r="65" spans="2:4" x14ac:dyDescent="0.2">
      <c r="B65" s="20">
        <v>4</v>
      </c>
      <c r="C65" s="21" t="s">
        <v>12</v>
      </c>
      <c r="D65" s="15" t="s">
        <v>3</v>
      </c>
    </row>
    <row r="66" spans="2:4" x14ac:dyDescent="0.2">
      <c r="B66" s="20" t="s">
        <v>34</v>
      </c>
      <c r="C66" s="21" t="s">
        <v>13</v>
      </c>
      <c r="D66" s="22">
        <v>0</v>
      </c>
    </row>
    <row r="67" spans="2:4" x14ac:dyDescent="0.2">
      <c r="B67" s="20" t="s">
        <v>35</v>
      </c>
      <c r="C67" s="21" t="s">
        <v>27</v>
      </c>
      <c r="D67" s="22" t="s">
        <v>148</v>
      </c>
    </row>
    <row r="68" spans="2:4" x14ac:dyDescent="0.2">
      <c r="B68" s="20">
        <v>5</v>
      </c>
      <c r="C68" s="21" t="s">
        <v>14</v>
      </c>
      <c r="D68" s="15" t="s">
        <v>3</v>
      </c>
    </row>
    <row r="69" spans="2:4" x14ac:dyDescent="0.2">
      <c r="B69" s="20" t="s">
        <v>36</v>
      </c>
      <c r="C69" s="21" t="s">
        <v>15</v>
      </c>
      <c r="D69" s="22">
        <v>0</v>
      </c>
    </row>
    <row r="70" spans="2:4" x14ac:dyDescent="0.2">
      <c r="B70" s="20">
        <v>6</v>
      </c>
      <c r="C70" s="21" t="s">
        <v>16</v>
      </c>
      <c r="D70" s="15" t="s">
        <v>3</v>
      </c>
    </row>
    <row r="71" spans="2:4" x14ac:dyDescent="0.2">
      <c r="B71" s="20" t="s">
        <v>94</v>
      </c>
      <c r="C71" s="21" t="s">
        <v>121</v>
      </c>
      <c r="D71" s="15" t="s">
        <v>3</v>
      </c>
    </row>
    <row r="72" spans="2:4" x14ac:dyDescent="0.2">
      <c r="B72" s="20" t="s">
        <v>111</v>
      </c>
      <c r="C72" s="21" t="s">
        <v>122</v>
      </c>
      <c r="D72" s="22">
        <v>0</v>
      </c>
    </row>
    <row r="73" spans="2:4" x14ac:dyDescent="0.2">
      <c r="B73" s="20">
        <v>7</v>
      </c>
      <c r="C73" s="21" t="s">
        <v>69</v>
      </c>
      <c r="D73" s="22">
        <v>0</v>
      </c>
    </row>
    <row r="74" spans="2:4" x14ac:dyDescent="0.2">
      <c r="B74" s="20">
        <v>8</v>
      </c>
      <c r="C74" s="21" t="s">
        <v>70</v>
      </c>
      <c r="D74" s="22">
        <v>0</v>
      </c>
    </row>
    <row r="75" spans="2:4" x14ac:dyDescent="0.2">
      <c r="B75" s="74" t="s">
        <v>20</v>
      </c>
      <c r="C75" s="74"/>
      <c r="D75" s="22"/>
    </row>
    <row r="76" spans="2:4" x14ac:dyDescent="0.2">
      <c r="B76" s="20">
        <v>0</v>
      </c>
      <c r="C76" s="21" t="s">
        <v>71</v>
      </c>
      <c r="D76" s="15" t="s">
        <v>3</v>
      </c>
    </row>
    <row r="77" spans="2:4" x14ac:dyDescent="0.2">
      <c r="B77" s="20">
        <v>1</v>
      </c>
      <c r="C77" s="21" t="s">
        <v>21</v>
      </c>
      <c r="D77" s="15" t="s">
        <v>3</v>
      </c>
    </row>
    <row r="78" spans="2:4" x14ac:dyDescent="0.2">
      <c r="B78" s="20">
        <v>2</v>
      </c>
      <c r="C78" s="21" t="s">
        <v>23</v>
      </c>
      <c r="D78" s="15" t="s">
        <v>3</v>
      </c>
    </row>
    <row r="79" spans="2:4" x14ac:dyDescent="0.2">
      <c r="B79" s="20">
        <v>3</v>
      </c>
      <c r="C79" s="21" t="s">
        <v>24</v>
      </c>
      <c r="D79" s="15" t="s">
        <v>3</v>
      </c>
    </row>
    <row r="80" spans="2:4" x14ac:dyDescent="0.2">
      <c r="B80" s="20">
        <v>4</v>
      </c>
      <c r="C80" s="21" t="s">
        <v>22</v>
      </c>
      <c r="D80" s="15" t="s">
        <v>3</v>
      </c>
    </row>
    <row r="81" spans="1:4" x14ac:dyDescent="0.2">
      <c r="B81" s="20">
        <v>5</v>
      </c>
      <c r="C81" s="21" t="s">
        <v>25</v>
      </c>
      <c r="D81" s="15" t="s">
        <v>3</v>
      </c>
    </row>
    <row r="82" spans="1:4" x14ac:dyDescent="0.2">
      <c r="B82" s="74" t="s">
        <v>46</v>
      </c>
      <c r="C82" s="74"/>
      <c r="D82" s="22"/>
    </row>
    <row r="83" spans="1:4" x14ac:dyDescent="0.2">
      <c r="B83" s="20">
        <v>1</v>
      </c>
      <c r="C83" s="21" t="s">
        <v>47</v>
      </c>
      <c r="D83" s="15" t="s">
        <v>2</v>
      </c>
    </row>
    <row r="84" spans="1:4" x14ac:dyDescent="0.2">
      <c r="B84" s="20" t="s">
        <v>64</v>
      </c>
      <c r="C84" s="21" t="s">
        <v>72</v>
      </c>
      <c r="D84" s="22" t="s">
        <v>172</v>
      </c>
    </row>
    <row r="86" spans="1:4" ht="16" x14ac:dyDescent="0.2">
      <c r="A86" s="28"/>
      <c r="B86" s="74" t="s">
        <v>30</v>
      </c>
      <c r="C86" s="74"/>
      <c r="D86" s="18" t="s">
        <v>107</v>
      </c>
    </row>
    <row r="87" spans="1:4" x14ac:dyDescent="0.2">
      <c r="B87" s="20">
        <v>1</v>
      </c>
      <c r="C87" s="21" t="s">
        <v>37</v>
      </c>
      <c r="D87" s="15" t="s">
        <v>2</v>
      </c>
    </row>
    <row r="88" spans="1:4" x14ac:dyDescent="0.2">
      <c r="B88" s="20">
        <v>2</v>
      </c>
      <c r="C88" s="21" t="s">
        <v>38</v>
      </c>
      <c r="D88" s="15" t="s">
        <v>2</v>
      </c>
    </row>
    <row r="89" spans="1:4" x14ac:dyDescent="0.2">
      <c r="B89" s="20" t="s">
        <v>31</v>
      </c>
      <c r="C89" s="21" t="s">
        <v>149</v>
      </c>
      <c r="D89" s="22" t="s">
        <v>77</v>
      </c>
    </row>
    <row r="90" spans="1:4" x14ac:dyDescent="0.2">
      <c r="B90" s="20" t="s">
        <v>33</v>
      </c>
      <c r="C90" s="21" t="s">
        <v>41</v>
      </c>
      <c r="D90" s="15" t="s">
        <v>2</v>
      </c>
    </row>
    <row r="91" spans="1:4" x14ac:dyDescent="0.2">
      <c r="B91" s="20" t="s">
        <v>42</v>
      </c>
      <c r="C91" s="21" t="s">
        <v>74</v>
      </c>
      <c r="D91" s="15" t="s">
        <v>2</v>
      </c>
    </row>
    <row r="92" spans="1:4" x14ac:dyDescent="0.2">
      <c r="B92" s="20">
        <v>3</v>
      </c>
      <c r="C92" s="21" t="s">
        <v>150</v>
      </c>
      <c r="D92" s="15" t="s">
        <v>3</v>
      </c>
    </row>
    <row r="93" spans="1:4" x14ac:dyDescent="0.2">
      <c r="B93" s="20">
        <v>4</v>
      </c>
      <c r="C93" s="21" t="s">
        <v>151</v>
      </c>
      <c r="D93" s="15" t="s">
        <v>3</v>
      </c>
    </row>
    <row r="94" spans="1:4" x14ac:dyDescent="0.2">
      <c r="B94" s="20">
        <v>5</v>
      </c>
      <c r="C94" s="21" t="s">
        <v>152</v>
      </c>
      <c r="D94" s="15" t="s">
        <v>2</v>
      </c>
    </row>
    <row r="95" spans="1:4" x14ac:dyDescent="0.2">
      <c r="B95" s="20">
        <v>6</v>
      </c>
      <c r="C95" s="21" t="s">
        <v>153</v>
      </c>
      <c r="D95" s="15" t="s">
        <v>2</v>
      </c>
    </row>
    <row r="96" spans="1:4" x14ac:dyDescent="0.2">
      <c r="B96" s="20">
        <v>7</v>
      </c>
      <c r="C96" s="21" t="s">
        <v>75</v>
      </c>
      <c r="D96" s="15" t="s">
        <v>2</v>
      </c>
    </row>
    <row r="97" spans="2:4" x14ac:dyDescent="0.2">
      <c r="B97" s="20">
        <v>8</v>
      </c>
      <c r="C97" s="21" t="s">
        <v>171</v>
      </c>
      <c r="D97" s="15" t="s">
        <v>2</v>
      </c>
    </row>
  </sheetData>
  <mergeCells count="12">
    <mergeCell ref="D43:D44"/>
    <mergeCell ref="B75:C75"/>
    <mergeCell ref="B82:C82"/>
    <mergeCell ref="B86:C86"/>
    <mergeCell ref="B3:C3"/>
    <mergeCell ref="B14:C14"/>
    <mergeCell ref="B20:C20"/>
    <mergeCell ref="B29:C29"/>
    <mergeCell ref="B43:C43"/>
    <mergeCell ref="B44:C44"/>
    <mergeCell ref="B61:C61"/>
    <mergeCell ref="B56:C56"/>
  </mergeCells>
  <pageMargins left="0.25" right="0.25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D031792D-7F16-43A6-B158-CCBE073131BC}">
          <x14:formula1>
            <xm:f>Datos!$B$7:$B$8</xm:f>
          </x14:formula1>
          <xm:sqref>D10 D90:D97 D87:D88 D83 D76:D81 D70:D71 D68 D62:D65 D52:D53 D49:D50 D45:D47 D41 D38:D39 D35:D36 D32 D30 D27 D21:D25 D15:D18 D12 D57 D59</xm:sqref>
        </x14:dataValidation>
        <x14:dataValidation type="list" allowBlank="1" showInputMessage="1" showErrorMessage="1" xr:uid="{97463719-59FA-4398-9AC6-55E8145F1982}">
          <x14:formula1>
            <xm:f>Datos!$B$10:$B$11</xm:f>
          </x14:formula1>
          <xm:sqref>D48</xm:sqref>
        </x14:dataValidation>
        <x14:dataValidation type="list" allowBlank="1" showInputMessage="1" showErrorMessage="1" xr:uid="{EAC4EAF4-D142-4C93-A6AE-A1518A78540D}">
          <x14:formula1>
            <xm:f>Datos!$B$14:$B$16</xm:f>
          </x14:formula1>
          <xm:sqref>D54</xm:sqref>
        </x14:dataValidation>
        <x14:dataValidation type="list" allowBlank="1" showInputMessage="1" showErrorMessage="1" xr:uid="{36A1BE09-DDFA-401C-A617-17F67040DACC}">
          <x14:formula1>
            <xm:f>Datos!$B$18:$B$21</xm:f>
          </x14:formula1>
          <xm:sqref>D67</xm:sqref>
        </x14:dataValidation>
        <x14:dataValidation type="list" allowBlank="1" showInputMessage="1" showErrorMessage="1" xr:uid="{A9EE8721-4FC8-4911-98BF-19EB9EBE4F6D}">
          <x14:formula1>
            <xm:f>Datos!$B$23:$B$26</xm:f>
          </x14:formula1>
          <xm:sqref>D89</xm:sqref>
        </x14:dataValidation>
        <x14:dataValidation type="list" allowBlank="1" showInputMessage="1" showErrorMessage="1" xr:uid="{752A3250-D755-43B9-B8F8-44DA18BFA9E3}">
          <x14:formula1>
            <xm:f>Datos!$B$29:$B$32</xm:f>
          </x14:formula1>
          <xm:sqref>D73:D74 D51 D55:D56 D60</xm:sqref>
        </x14:dataValidation>
        <x14:dataValidation type="list" allowBlank="1" showInputMessage="1" showErrorMessage="1" xr:uid="{E486D9B5-EF8C-4A33-A8DC-68B1518A4898}">
          <x14:formula1>
            <xm:f>Datos!$B$2:$B$5</xm:f>
          </x14:formula1>
          <xm:sqref>D31</xm:sqref>
        </x14:dataValidation>
        <x14:dataValidation type="list" allowBlank="1" showInputMessage="1" showErrorMessage="1" xr:uid="{7FAFBDEA-2CD2-4D49-AA77-B733EB9D95D4}">
          <x14:formula1>
            <xm:f>Datos!$B$34:$B$37</xm:f>
          </x14:formula1>
          <xm:sqref>D66 D69 D72</xm:sqref>
        </x14:dataValidation>
        <x14:dataValidation type="list" allowBlank="1" showInputMessage="1" showErrorMessage="1" xr:uid="{BD70FD9B-6739-4FD6-9E99-5DCE7D2E8DB2}">
          <x14:formula1>
            <xm:f>Datos!$B$39:$B$42</xm:f>
          </x14:formula1>
          <xm:sqref>D58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F7BD-19E2-4A76-883B-211EF1DDA1E1}">
  <dimension ref="A1:BC125"/>
  <sheetViews>
    <sheetView zoomScale="85" zoomScaleNormal="85" workbookViewId="0">
      <selection activeCell="K9" sqref="K9:K10"/>
    </sheetView>
  </sheetViews>
  <sheetFormatPr baseColWidth="10" defaultRowHeight="15" x14ac:dyDescent="0.2"/>
  <cols>
    <col min="1" max="1" width="3.5" style="17" customWidth="1"/>
    <col min="2" max="2" width="12.1640625" bestFit="1" customWidth="1"/>
    <col min="3" max="3" width="4.1640625" customWidth="1"/>
    <col min="4" max="4" width="108.1640625" customWidth="1"/>
    <col min="5" max="5" width="11.83203125" bestFit="1" customWidth="1"/>
    <col min="6" max="6" width="12.83203125" customWidth="1"/>
    <col min="7" max="7" width="13.83203125" customWidth="1"/>
    <col min="8" max="8" width="13.33203125" customWidth="1"/>
    <col min="9" max="9" width="15.33203125" hidden="1" customWidth="1"/>
    <col min="10" max="10" width="0" style="17" hidden="1" customWidth="1"/>
    <col min="11" max="19" width="11.5" style="17"/>
  </cols>
  <sheetData>
    <row r="1" spans="2:55" s="17" customFormat="1" x14ac:dyDescent="0.2">
      <c r="H1" s="68"/>
      <c r="I1" s="68"/>
      <c r="J1" s="68"/>
      <c r="K1" s="68"/>
      <c r="L1" s="68"/>
      <c r="M1" s="68"/>
      <c r="N1" s="68"/>
      <c r="O1" s="68"/>
      <c r="P1" s="68"/>
      <c r="Q1" s="68"/>
    </row>
    <row r="2" spans="2:55" ht="32" x14ac:dyDescent="0.2">
      <c r="B2" s="9" t="s">
        <v>98</v>
      </c>
      <c r="C2" s="78" t="s">
        <v>0</v>
      </c>
      <c r="D2" s="79"/>
      <c r="E2" s="9" t="s">
        <v>99</v>
      </c>
      <c r="F2" s="9" t="s">
        <v>98</v>
      </c>
      <c r="G2" s="9" t="s">
        <v>100</v>
      </c>
      <c r="H2" s="68"/>
      <c r="I2" s="68"/>
      <c r="J2" s="68"/>
      <c r="K2" s="68"/>
      <c r="L2" s="68"/>
      <c r="M2" s="68"/>
      <c r="N2" s="68"/>
      <c r="O2" s="68"/>
      <c r="P2" s="68"/>
      <c r="Q2" s="68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</row>
    <row r="3" spans="2:55" x14ac:dyDescent="0.2">
      <c r="B3" s="76">
        <v>0.125</v>
      </c>
      <c r="C3" s="4">
        <v>1</v>
      </c>
      <c r="D3" s="3" t="s">
        <v>53</v>
      </c>
      <c r="E3" s="5">
        <f>IF(Cuestionario!D4&gt;0,Cuestionario!D4,"Ingrese datos")</f>
        <v>450</v>
      </c>
      <c r="F3" s="10">
        <f>+IF(E3&lt;=10,"Micro",IF(E3&lt;=50,"Pequeña",IF(E3&lt;=200,"Mediana",0)))</f>
        <v>0</v>
      </c>
      <c r="G3" s="77">
        <f>+SUM(F3:F11)*B3</f>
        <v>6.9444444444444444E-5</v>
      </c>
      <c r="H3" s="68"/>
      <c r="I3" s="68" t="s">
        <v>125</v>
      </c>
      <c r="J3" s="69">
        <f>+G3</f>
        <v>6.9444444444444444E-5</v>
      </c>
      <c r="K3" s="68"/>
      <c r="L3" s="68"/>
      <c r="M3" s="68"/>
      <c r="N3" s="68"/>
      <c r="O3" s="68"/>
      <c r="P3" s="68"/>
      <c r="Q3" s="68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</row>
    <row r="4" spans="2:55" x14ac:dyDescent="0.2">
      <c r="B4" s="76"/>
      <c r="C4" s="4">
        <v>2</v>
      </c>
      <c r="D4" s="3" t="s">
        <v>54</v>
      </c>
      <c r="E4" s="6">
        <f>IF(Cuestionario!$D$4&gt;0,+Cuestionario!D5/Cuestionario!$D$4,"Ingrese datos")</f>
        <v>0</v>
      </c>
      <c r="F4" s="11">
        <f>+E4*0.125</f>
        <v>0</v>
      </c>
      <c r="G4" s="77"/>
      <c r="H4" s="68"/>
      <c r="I4" s="68" t="s">
        <v>126</v>
      </c>
      <c r="J4" s="69">
        <f>+G13</f>
        <v>7.4999999999999997E-2</v>
      </c>
      <c r="K4" s="68"/>
      <c r="L4" s="68"/>
      <c r="M4" s="68"/>
      <c r="N4" s="68"/>
      <c r="O4" s="68"/>
      <c r="P4" s="68"/>
      <c r="Q4" s="68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</row>
    <row r="5" spans="2:55" x14ac:dyDescent="0.2">
      <c r="B5" s="76"/>
      <c r="C5" s="4">
        <v>3</v>
      </c>
      <c r="D5" s="3" t="s">
        <v>55</v>
      </c>
      <c r="E5" s="6">
        <f>IF(Cuestionario!$D$4&gt;0,+Cuestionario!D6/Cuestionario!$D$4,"Ingrese datos")</f>
        <v>0</v>
      </c>
      <c r="F5" s="11">
        <f t="shared" ref="F5:F11" si="0">+E5*0.125</f>
        <v>0</v>
      </c>
      <c r="G5" s="77"/>
      <c r="H5" s="68"/>
      <c r="I5" s="68" t="s">
        <v>127</v>
      </c>
      <c r="J5" s="69">
        <f>+G18</f>
        <v>4.3750000000000004E-2</v>
      </c>
      <c r="K5" s="68"/>
      <c r="L5" s="68"/>
      <c r="M5" s="68"/>
      <c r="N5" s="68"/>
      <c r="O5" s="68"/>
      <c r="P5" s="68"/>
      <c r="Q5" s="68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</row>
    <row r="6" spans="2:55" x14ac:dyDescent="0.2">
      <c r="B6" s="76"/>
      <c r="C6" s="4">
        <v>4</v>
      </c>
      <c r="D6" s="3" t="s">
        <v>56</v>
      </c>
      <c r="E6" s="6">
        <f>IF(Cuestionario!$D$4&gt;0,+Cuestionario!D7/Cuestionario!$D$4,"Ingrese datos")</f>
        <v>0</v>
      </c>
      <c r="F6" s="11">
        <f t="shared" si="0"/>
        <v>0</v>
      </c>
      <c r="G6" s="77"/>
      <c r="H6" s="68"/>
      <c r="I6" s="68" t="s">
        <v>128</v>
      </c>
      <c r="J6" s="69">
        <f>+G26</f>
        <v>6.1896825396825395E-2</v>
      </c>
      <c r="K6" s="68"/>
      <c r="L6" s="68"/>
      <c r="M6" s="68"/>
      <c r="N6" s="68"/>
      <c r="O6" s="68"/>
      <c r="P6" s="68"/>
      <c r="Q6" s="68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</row>
    <row r="7" spans="2:55" x14ac:dyDescent="0.2">
      <c r="B7" s="76"/>
      <c r="C7" s="4">
        <v>5</v>
      </c>
      <c r="D7" s="3" t="s">
        <v>57</v>
      </c>
      <c r="E7" s="6">
        <f>IF(Cuestionario!$D$4&gt;0,+Cuestionario!D8/Cuestionario!$D$4,"Ingrese datos")</f>
        <v>0</v>
      </c>
      <c r="F7" s="11">
        <f t="shared" si="0"/>
        <v>0</v>
      </c>
      <c r="G7" s="77"/>
      <c r="H7" s="68"/>
      <c r="I7" s="68" t="s">
        <v>129</v>
      </c>
      <c r="J7" s="69">
        <f>+H38</f>
        <v>0.21954166666666666</v>
      </c>
      <c r="K7" s="68"/>
      <c r="L7" s="68"/>
      <c r="M7" s="68"/>
      <c r="N7" s="68"/>
      <c r="O7" s="68"/>
      <c r="P7" s="68"/>
      <c r="Q7" s="68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</row>
    <row r="8" spans="2:55" x14ac:dyDescent="0.2">
      <c r="B8" s="76"/>
      <c r="C8" s="4">
        <v>6</v>
      </c>
      <c r="D8" s="3" t="s">
        <v>58</v>
      </c>
      <c r="E8" s="6">
        <f>IF(Cuestionario!$D$4&gt;0,+Cuestionario!D9/Cuestionario!$D$4,"Ingrese datos")</f>
        <v>2.2222222222222222E-3</v>
      </c>
      <c r="F8" s="11">
        <f t="shared" si="0"/>
        <v>2.7777777777777778E-4</v>
      </c>
      <c r="G8" s="77"/>
      <c r="H8" s="68"/>
      <c r="I8" s="68" t="s">
        <v>169</v>
      </c>
      <c r="J8" s="70">
        <f>+G39</f>
        <v>5.5999999999999994E-2</v>
      </c>
      <c r="K8" s="68"/>
      <c r="L8" s="68"/>
      <c r="M8" s="68"/>
      <c r="N8" s="68"/>
      <c r="O8" s="68"/>
      <c r="P8" s="68"/>
      <c r="Q8" s="68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</row>
    <row r="9" spans="2:55" x14ac:dyDescent="0.2">
      <c r="B9" s="76"/>
      <c r="C9" s="4">
        <v>7</v>
      </c>
      <c r="D9" s="3" t="s">
        <v>52</v>
      </c>
      <c r="E9" s="6">
        <f>+IF(Cuestionario!$D$10="Si",100%,0)</f>
        <v>0</v>
      </c>
      <c r="F9" s="11">
        <f t="shared" si="0"/>
        <v>0</v>
      </c>
      <c r="G9" s="77"/>
      <c r="H9" s="68"/>
      <c r="I9" s="68" t="s">
        <v>170</v>
      </c>
      <c r="J9" s="29">
        <f>+G50</f>
        <v>1.6666666666666666E-3</v>
      </c>
      <c r="K9" s="68"/>
      <c r="L9" s="68"/>
      <c r="M9" s="68"/>
      <c r="N9" s="68"/>
      <c r="O9" s="68"/>
      <c r="P9" s="68"/>
      <c r="Q9" s="68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</row>
    <row r="10" spans="2:55" x14ac:dyDescent="0.2">
      <c r="B10" s="76"/>
      <c r="C10" s="4">
        <v>8</v>
      </c>
      <c r="D10" s="3" t="s">
        <v>59</v>
      </c>
      <c r="E10" s="6">
        <f>IF(Cuestionario!$D$4&gt;0,+Cuestionario!D11/Cuestionario!$D$4,"Ingrese datos")</f>
        <v>2.2222222222222222E-3</v>
      </c>
      <c r="F10" s="11">
        <f t="shared" si="0"/>
        <v>2.7777777777777778E-4</v>
      </c>
      <c r="G10" s="77"/>
      <c r="H10" s="68"/>
      <c r="I10" s="68" t="s">
        <v>130</v>
      </c>
      <c r="J10" s="70">
        <f>+G56</f>
        <v>0.01</v>
      </c>
      <c r="K10" s="68"/>
      <c r="L10" s="68"/>
      <c r="M10" s="68"/>
      <c r="N10" s="68"/>
      <c r="O10" s="68"/>
      <c r="P10" s="68"/>
      <c r="Q10" s="68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</row>
    <row r="11" spans="2:55" x14ac:dyDescent="0.2">
      <c r="B11" s="76"/>
      <c r="C11" s="4">
        <v>9</v>
      </c>
      <c r="D11" s="3" t="s">
        <v>60</v>
      </c>
      <c r="E11" s="6">
        <f>+IF(Cuestionario!$D$12="Si",100%,0)</f>
        <v>0</v>
      </c>
      <c r="F11" s="11">
        <f t="shared" si="0"/>
        <v>0</v>
      </c>
      <c r="G11" s="77"/>
      <c r="H11" s="68"/>
      <c r="I11" s="68" t="s">
        <v>131</v>
      </c>
      <c r="J11" s="70">
        <f>+G70</f>
        <v>0</v>
      </c>
      <c r="K11" s="68"/>
      <c r="L11" s="68"/>
      <c r="M11" s="68"/>
      <c r="N11" s="68"/>
      <c r="O11" s="68"/>
      <c r="P11" s="68"/>
      <c r="Q11" s="68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</row>
    <row r="12" spans="2:55" ht="32" x14ac:dyDescent="0.2">
      <c r="B12" s="9" t="s">
        <v>98</v>
      </c>
      <c r="C12" s="80" t="s">
        <v>78</v>
      </c>
      <c r="D12" s="80"/>
      <c r="E12" s="9" t="s">
        <v>99</v>
      </c>
      <c r="F12" s="9" t="s">
        <v>98</v>
      </c>
      <c r="G12" s="9" t="s">
        <v>100</v>
      </c>
      <c r="H12" s="68"/>
      <c r="I12" s="68" t="s">
        <v>132</v>
      </c>
      <c r="J12" s="70">
        <f>+G77</f>
        <v>0.03</v>
      </c>
      <c r="K12" s="68"/>
      <c r="L12" s="68"/>
      <c r="M12" s="68"/>
      <c r="N12" s="68"/>
      <c r="O12" s="68"/>
      <c r="P12" s="68"/>
      <c r="Q12" s="68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</row>
    <row r="13" spans="2:55" x14ac:dyDescent="0.2">
      <c r="B13" s="81">
        <v>7.4999999999999997E-2</v>
      </c>
      <c r="C13" s="4">
        <v>1</v>
      </c>
      <c r="D13" s="3" t="s">
        <v>43</v>
      </c>
      <c r="E13" s="6">
        <f>+IF(Cuestionario!$D$15="Si",100%,0)</f>
        <v>1</v>
      </c>
      <c r="F13" s="12">
        <f>+E13*(1/3)</f>
        <v>0.33333333333333331</v>
      </c>
      <c r="G13" s="83">
        <f>+SUM(F13:F16)*B13</f>
        <v>7.4999999999999997E-2</v>
      </c>
      <c r="H13" s="68"/>
      <c r="I13" s="71" t="s">
        <v>133</v>
      </c>
      <c r="J13" s="70">
        <f>+G79</f>
        <v>0.12187500000000001</v>
      </c>
      <c r="K13" s="68"/>
      <c r="L13" s="68"/>
      <c r="M13" s="68"/>
      <c r="N13" s="68"/>
      <c r="O13" s="68"/>
      <c r="P13" s="68"/>
      <c r="Q13" s="68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</row>
    <row r="14" spans="2:55" x14ac:dyDescent="0.2">
      <c r="B14" s="82"/>
      <c r="C14" s="4">
        <v>2</v>
      </c>
      <c r="D14" s="3" t="s">
        <v>79</v>
      </c>
      <c r="E14" s="6">
        <f>+IF(Cuestionario!$D$16="Si",100%,0)</f>
        <v>1</v>
      </c>
      <c r="F14" s="12">
        <f>+E14*((1/3)/2)</f>
        <v>0.16666666666666666</v>
      </c>
      <c r="G14" s="84"/>
      <c r="H14" s="68"/>
      <c r="I14" s="68"/>
      <c r="J14" s="68"/>
      <c r="K14" s="68"/>
      <c r="L14" s="68"/>
      <c r="M14" s="68"/>
      <c r="N14" s="68"/>
      <c r="O14" s="68"/>
      <c r="P14" s="68"/>
      <c r="Q14" s="68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</row>
    <row r="15" spans="2:55" x14ac:dyDescent="0.2">
      <c r="B15" s="82"/>
      <c r="C15" s="4" t="s">
        <v>31</v>
      </c>
      <c r="D15" s="3" t="s">
        <v>80</v>
      </c>
      <c r="E15" s="6">
        <f>+IF(Cuestionario!$D$17="Si",100%,0)</f>
        <v>1</v>
      </c>
      <c r="F15" s="12">
        <f>+E15*((1/3)/2)</f>
        <v>0.16666666666666666</v>
      </c>
      <c r="G15" s="84"/>
      <c r="H15" s="68"/>
      <c r="I15" s="68"/>
      <c r="J15" s="68"/>
      <c r="K15" s="68"/>
      <c r="L15" s="68"/>
      <c r="M15" s="68"/>
      <c r="N15" s="68"/>
      <c r="O15" s="68"/>
      <c r="P15" s="68"/>
      <c r="Q15" s="68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</row>
    <row r="16" spans="2:55" x14ac:dyDescent="0.2">
      <c r="B16" s="82"/>
      <c r="C16" s="4">
        <v>3</v>
      </c>
      <c r="D16" s="3" t="s">
        <v>44</v>
      </c>
      <c r="E16" s="6">
        <f>+IF(Cuestionario!$D$18="Si",100%,0)</f>
        <v>1</v>
      </c>
      <c r="F16" s="12">
        <f t="shared" ref="F16" si="1">+E16*(1/3)</f>
        <v>0.33333333333333331</v>
      </c>
      <c r="G16" s="85"/>
      <c r="H16" s="68"/>
      <c r="I16" s="68"/>
      <c r="J16" s="68"/>
      <c r="K16" s="68"/>
      <c r="L16" s="68"/>
      <c r="M16" s="68"/>
      <c r="N16" s="68"/>
      <c r="O16" s="68"/>
      <c r="P16" s="68"/>
      <c r="Q16" s="68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</row>
    <row r="17" spans="2:55" ht="32" x14ac:dyDescent="0.2">
      <c r="B17" s="9" t="s">
        <v>98</v>
      </c>
      <c r="C17" s="80" t="s">
        <v>45</v>
      </c>
      <c r="D17" s="80"/>
      <c r="E17" s="9" t="s">
        <v>99</v>
      </c>
      <c r="F17" s="9" t="s">
        <v>98</v>
      </c>
      <c r="G17" s="9" t="s">
        <v>100</v>
      </c>
      <c r="H17" s="68"/>
      <c r="I17" s="68"/>
      <c r="J17" s="68"/>
      <c r="K17" s="68"/>
      <c r="L17" s="68"/>
      <c r="M17" s="68"/>
      <c r="N17" s="68"/>
      <c r="O17" s="68"/>
      <c r="P17" s="68"/>
      <c r="Q17" s="68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</row>
    <row r="18" spans="2:55" x14ac:dyDescent="0.2">
      <c r="B18" s="90">
        <v>0.15</v>
      </c>
      <c r="C18" s="4">
        <v>1</v>
      </c>
      <c r="D18" s="3" t="s">
        <v>84</v>
      </c>
      <c r="E18" s="6">
        <f>+IF(Cuestionario!$D$21="Si",100%,0)</f>
        <v>0</v>
      </c>
      <c r="F18" s="12">
        <f>+E18*(1/6)</f>
        <v>0</v>
      </c>
      <c r="G18" s="83">
        <f>+SUM(F18:F24)*B18</f>
        <v>4.3750000000000004E-2</v>
      </c>
      <c r="H18" s="68"/>
      <c r="I18" s="68"/>
      <c r="J18" s="68"/>
      <c r="K18" s="68"/>
      <c r="L18" s="68"/>
      <c r="M18" s="68"/>
      <c r="N18" s="68"/>
      <c r="O18" s="68"/>
      <c r="P18" s="68"/>
      <c r="Q18" s="68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</row>
    <row r="19" spans="2:55" x14ac:dyDescent="0.2">
      <c r="B19" s="90"/>
      <c r="C19" s="4">
        <v>2</v>
      </c>
      <c r="D19" s="3" t="s">
        <v>85</v>
      </c>
      <c r="E19" s="6">
        <f>+IF(Cuestionario!$D$22="Si",100%,0)</f>
        <v>0</v>
      </c>
      <c r="F19" s="12">
        <f t="shared" ref="F19:F24" si="2">+E19*(1/6)</f>
        <v>0</v>
      </c>
      <c r="G19" s="84"/>
      <c r="H19" s="68"/>
      <c r="I19" s="68"/>
      <c r="J19" s="68"/>
      <c r="K19" s="68"/>
      <c r="L19" s="68"/>
      <c r="M19" s="68"/>
      <c r="N19" s="68"/>
      <c r="O19" s="68"/>
      <c r="P19" s="68"/>
      <c r="Q19" s="68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</row>
    <row r="20" spans="2:55" x14ac:dyDescent="0.2">
      <c r="B20" s="90"/>
      <c r="C20" s="4">
        <v>3</v>
      </c>
      <c r="D20" s="3" t="s">
        <v>86</v>
      </c>
      <c r="E20" s="6">
        <f>+IF(Cuestionario!$D$23="Si",100%,0)</f>
        <v>1</v>
      </c>
      <c r="F20" s="12">
        <f t="shared" si="2"/>
        <v>0.16666666666666666</v>
      </c>
      <c r="G20" s="84"/>
      <c r="H20" s="68"/>
      <c r="I20" s="68"/>
      <c r="J20" s="68"/>
      <c r="K20" s="68"/>
      <c r="L20" s="68"/>
      <c r="M20" s="68"/>
      <c r="N20" s="68"/>
      <c r="O20" s="68"/>
      <c r="P20" s="68"/>
      <c r="Q20" s="68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</row>
    <row r="21" spans="2:55" x14ac:dyDescent="0.2">
      <c r="B21" s="90"/>
      <c r="C21" s="4">
        <v>4</v>
      </c>
      <c r="D21" s="3" t="s">
        <v>82</v>
      </c>
      <c r="E21" s="6">
        <f>+IF(Cuestionario!$D$24="Si",100%,0)</f>
        <v>0</v>
      </c>
      <c r="F21" s="12">
        <f t="shared" si="2"/>
        <v>0</v>
      </c>
      <c r="G21" s="84"/>
      <c r="H21" s="68"/>
      <c r="I21" s="68"/>
      <c r="J21" s="68"/>
      <c r="K21" s="68"/>
      <c r="L21" s="68"/>
      <c r="M21" s="68"/>
      <c r="N21" s="68"/>
      <c r="O21" s="68"/>
      <c r="P21" s="68"/>
      <c r="Q21" s="68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</row>
    <row r="22" spans="2:55" x14ac:dyDescent="0.2">
      <c r="B22" s="90"/>
      <c r="C22" s="4">
        <v>5</v>
      </c>
      <c r="D22" s="3" t="s">
        <v>83</v>
      </c>
      <c r="E22" s="6">
        <f>+IF(Cuestionario!$D$25="Si",100%,0)</f>
        <v>1</v>
      </c>
      <c r="F22" s="12">
        <f>+E22*((1/6)/2)</f>
        <v>8.3333333333333329E-2</v>
      </c>
      <c r="G22" s="84"/>
      <c r="H22" s="68"/>
      <c r="I22" s="68"/>
      <c r="J22" s="68"/>
      <c r="K22" s="68"/>
      <c r="L22" s="68"/>
      <c r="M22" s="68"/>
      <c r="N22" s="68"/>
      <c r="O22" s="68"/>
      <c r="P22" s="68"/>
      <c r="Q22" s="68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</row>
    <row r="23" spans="2:55" x14ac:dyDescent="0.2">
      <c r="B23" s="90"/>
      <c r="C23" s="4" t="s">
        <v>36</v>
      </c>
      <c r="D23" s="3" t="s">
        <v>101</v>
      </c>
      <c r="E23" s="6">
        <f>+IF(Cuestionario!$D$26&gt;1%,50%,IF(Cuestionario!$D$26&gt;2%,75%,IF(Cuestionario!$D$26&gt;3%,100%,0)))</f>
        <v>0.5</v>
      </c>
      <c r="F23" s="12">
        <f>+E23*((1/6)/2)</f>
        <v>4.1666666666666664E-2</v>
      </c>
      <c r="G23" s="84"/>
      <c r="H23" s="68"/>
      <c r="I23" s="68"/>
      <c r="J23" s="68"/>
      <c r="K23" s="68"/>
      <c r="L23" s="68"/>
      <c r="M23" s="68"/>
      <c r="N23" s="68"/>
      <c r="O23" s="68"/>
      <c r="P23" s="68"/>
      <c r="Q23" s="68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</row>
    <row r="24" spans="2:55" x14ac:dyDescent="0.2">
      <c r="B24" s="90"/>
      <c r="C24" s="4">
        <v>6</v>
      </c>
      <c r="D24" s="3" t="s">
        <v>87</v>
      </c>
      <c r="E24" s="6">
        <f>+IF(Cuestionario!$E$27="Si",100%,0)</f>
        <v>0</v>
      </c>
      <c r="F24" s="12">
        <f t="shared" si="2"/>
        <v>0</v>
      </c>
      <c r="G24" s="85"/>
      <c r="H24" s="17"/>
      <c r="I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</row>
    <row r="25" spans="2:55" ht="32" x14ac:dyDescent="0.2">
      <c r="B25" s="9" t="s">
        <v>98</v>
      </c>
      <c r="C25" s="80" t="s">
        <v>81</v>
      </c>
      <c r="D25" s="80"/>
      <c r="E25" s="9" t="s">
        <v>99</v>
      </c>
      <c r="F25" s="9" t="s">
        <v>98</v>
      </c>
      <c r="G25" s="9" t="s">
        <v>100</v>
      </c>
      <c r="H25" s="17"/>
      <c r="I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</row>
    <row r="26" spans="2:55" x14ac:dyDescent="0.2">
      <c r="B26" s="90">
        <v>0.15</v>
      </c>
      <c r="C26" s="4">
        <v>1</v>
      </c>
      <c r="D26" s="3" t="s">
        <v>88</v>
      </c>
      <c r="E26" s="6">
        <f>+IF(Cuestionario!$D$30="Si",100%,0)</f>
        <v>1</v>
      </c>
      <c r="F26" s="14">
        <f>+E26*((1/7)/2)</f>
        <v>7.1428571428571425E-2</v>
      </c>
      <c r="G26" s="83">
        <f>+SUM(F26:F35)*B26</f>
        <v>6.1896825396825395E-2</v>
      </c>
      <c r="H26" s="17"/>
      <c r="I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</row>
    <row r="27" spans="2:55" ht="32" x14ac:dyDescent="0.2">
      <c r="B27" s="90"/>
      <c r="C27" s="4" t="s">
        <v>64</v>
      </c>
      <c r="D27" s="13" t="s">
        <v>102</v>
      </c>
      <c r="E27" s="6">
        <f>+IF(Cuestionario!$D$31="Estoy en el rango",90%,IF(Cuestionario!$D$31="Estoy por debajo del rango",100%,IF(Cuestionario!$D$31="Estoy por encima del rango",10%,IF(Cuestionario!$D$31="No realizo medición de CO2",0%,0))))</f>
        <v>0.1</v>
      </c>
      <c r="F27" s="14">
        <f>+E27*((1/7)/2)</f>
        <v>7.1428571428571426E-3</v>
      </c>
      <c r="G27" s="84"/>
      <c r="H27" s="17"/>
      <c r="I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</row>
    <row r="28" spans="2:55" x14ac:dyDescent="0.2">
      <c r="B28" s="90"/>
      <c r="C28" s="4">
        <v>2</v>
      </c>
      <c r="D28" s="3" t="s">
        <v>89</v>
      </c>
      <c r="E28" s="6">
        <f>+IF(Cuestionario!$D$32="Si",100%,0)</f>
        <v>1</v>
      </c>
      <c r="F28" s="14">
        <f>+E28*((1/7)/3)</f>
        <v>4.7619047619047616E-2</v>
      </c>
      <c r="G28" s="84"/>
      <c r="H28" s="17"/>
      <c r="I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</row>
    <row r="29" spans="2:55" x14ac:dyDescent="0.2">
      <c r="B29" s="90"/>
      <c r="C29" s="4" t="s">
        <v>31</v>
      </c>
      <c r="D29" s="3" t="s">
        <v>96</v>
      </c>
      <c r="E29" s="6">
        <f>IF(Cuestionario!$D$4&gt;0,+Cuestionario!D33/Cuestionario!$D$4,"Ingrese datos")</f>
        <v>1.1111111111111112E-2</v>
      </c>
      <c r="F29" s="14">
        <f t="shared" ref="F29:F30" si="3">+E29*((1/7)/3)</f>
        <v>5.2910052910052914E-4</v>
      </c>
      <c r="G29" s="84"/>
      <c r="H29" s="17"/>
      <c r="I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</row>
    <row r="30" spans="2:55" x14ac:dyDescent="0.2">
      <c r="B30" s="90"/>
      <c r="C30" s="4" t="s">
        <v>32</v>
      </c>
      <c r="D30" s="3" t="s">
        <v>97</v>
      </c>
      <c r="E30" s="6">
        <f>IF(Cuestionario!$D$4&gt;0,+Cuestionario!D34/Cuestionario!$D$4,"Ingrese datos")</f>
        <v>4.4444444444444444E-3</v>
      </c>
      <c r="F30" s="14">
        <f t="shared" si="3"/>
        <v>2.1164021164021162E-4</v>
      </c>
      <c r="G30" s="84"/>
      <c r="H30" s="17"/>
      <c r="I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</row>
    <row r="31" spans="2:55" x14ac:dyDescent="0.2">
      <c r="B31" s="90"/>
      <c r="C31" s="4">
        <v>3</v>
      </c>
      <c r="D31" s="3" t="s">
        <v>90</v>
      </c>
      <c r="E31" s="6">
        <f>+IF(Cuestionario!$D$35="Si",100%,0)</f>
        <v>1</v>
      </c>
      <c r="F31" s="14">
        <f t="shared" ref="F31:F35" si="4">+E31*(1/7)</f>
        <v>0.14285714285714285</v>
      </c>
      <c r="G31" s="84"/>
      <c r="H31" s="17"/>
      <c r="I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</row>
    <row r="32" spans="2:55" x14ac:dyDescent="0.2">
      <c r="B32" s="90"/>
      <c r="C32" s="4">
        <v>4</v>
      </c>
      <c r="D32" s="3" t="s">
        <v>91</v>
      </c>
      <c r="E32" s="6">
        <f>+IF(Cuestionario!$D$36="Si",100%,0)</f>
        <v>0</v>
      </c>
      <c r="F32" s="14">
        <f t="shared" si="4"/>
        <v>0</v>
      </c>
      <c r="G32" s="84"/>
      <c r="H32" s="17"/>
      <c r="I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</row>
    <row r="33" spans="2:55" x14ac:dyDescent="0.2">
      <c r="B33" s="90"/>
      <c r="C33" s="4">
        <v>5</v>
      </c>
      <c r="D33" s="3" t="s">
        <v>92</v>
      </c>
      <c r="E33" s="6">
        <f>+IF(Cuestionario!$D$38="Si",100%,0)</f>
        <v>0</v>
      </c>
      <c r="F33" s="14">
        <f t="shared" si="4"/>
        <v>0</v>
      </c>
      <c r="G33" s="84"/>
      <c r="H33" s="17"/>
      <c r="I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</row>
    <row r="34" spans="2:55" x14ac:dyDescent="0.2">
      <c r="B34" s="90"/>
      <c r="C34" s="4">
        <v>6</v>
      </c>
      <c r="D34" s="3" t="s">
        <v>93</v>
      </c>
      <c r="E34" s="6">
        <f>+IF(Cuestionario!$D$39="Si",100%,0)</f>
        <v>1</v>
      </c>
      <c r="F34" s="14">
        <f t="shared" si="4"/>
        <v>0.14285714285714285</v>
      </c>
      <c r="G34" s="84"/>
      <c r="H34" s="17"/>
      <c r="I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</row>
    <row r="35" spans="2:55" x14ac:dyDescent="0.2">
      <c r="B35" s="91"/>
      <c r="C35" s="41">
        <v>7</v>
      </c>
      <c r="D35" s="42" t="s">
        <v>95</v>
      </c>
      <c r="E35" s="43">
        <f>+IF(Cuestionario!$D$41="Si",100%,0)</f>
        <v>0</v>
      </c>
      <c r="F35" s="44">
        <f t="shared" si="4"/>
        <v>0</v>
      </c>
      <c r="G35" s="84"/>
      <c r="H35" s="17"/>
      <c r="I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</row>
    <row r="36" spans="2:55" ht="23.25" customHeight="1" x14ac:dyDescent="0.2">
      <c r="B36" s="90" t="s">
        <v>135</v>
      </c>
      <c r="C36" s="90"/>
      <c r="D36" s="90"/>
      <c r="E36" s="90"/>
      <c r="F36" s="90"/>
      <c r="G36" s="90"/>
      <c r="H36" s="90"/>
      <c r="I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</row>
    <row r="37" spans="2:55" ht="32" x14ac:dyDescent="0.2">
      <c r="B37" s="9" t="s">
        <v>98</v>
      </c>
      <c r="C37" s="86" t="s">
        <v>110</v>
      </c>
      <c r="D37" s="87"/>
      <c r="E37" s="9" t="s">
        <v>99</v>
      </c>
      <c r="F37" s="9" t="s">
        <v>98</v>
      </c>
      <c r="G37" s="9" t="s">
        <v>123</v>
      </c>
      <c r="H37" s="9" t="s">
        <v>100</v>
      </c>
      <c r="I37" s="17"/>
      <c r="J37" s="68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</row>
    <row r="38" spans="2:55" ht="15" customHeight="1" x14ac:dyDescent="0.2">
      <c r="B38" s="91">
        <v>0.08</v>
      </c>
      <c r="C38" s="106" t="s">
        <v>8</v>
      </c>
      <c r="D38" s="107"/>
      <c r="E38" s="107"/>
      <c r="F38" s="107"/>
      <c r="G38" s="108"/>
      <c r="H38" s="98">
        <f>+G39+G56+G70+G77+G79+G50</f>
        <v>0.21954166666666666</v>
      </c>
      <c r="I38" s="17"/>
      <c r="J38" s="68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</row>
    <row r="39" spans="2:55" ht="15" customHeight="1" x14ac:dyDescent="0.2">
      <c r="B39" s="92"/>
      <c r="C39" s="20">
        <v>1</v>
      </c>
      <c r="D39" s="21" t="s">
        <v>18</v>
      </c>
      <c r="E39" s="6">
        <f>+IF(Cuestionario!$D$45="Si",100%,0)</f>
        <v>1</v>
      </c>
      <c r="F39" s="14">
        <f>+E39*((1/5)/2)</f>
        <v>0.1</v>
      </c>
      <c r="G39" s="103">
        <f>+SUM(F39:F49)*B38</f>
        <v>5.5999999999999994E-2</v>
      </c>
      <c r="H39" s="99"/>
      <c r="I39" s="17"/>
      <c r="J39" s="68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</row>
    <row r="40" spans="2:55" ht="15" customHeight="1" x14ac:dyDescent="0.2">
      <c r="B40" s="92"/>
      <c r="C40" s="20" t="s">
        <v>64</v>
      </c>
      <c r="D40" s="21" t="s">
        <v>65</v>
      </c>
      <c r="E40" s="6">
        <f>+IF(Cuestionario!$D$46="Si",100%,0)</f>
        <v>0</v>
      </c>
      <c r="F40" s="14">
        <f>+E40*((1/5)/2)</f>
        <v>0</v>
      </c>
      <c r="G40" s="104"/>
      <c r="H40" s="99"/>
      <c r="I40" s="17"/>
      <c r="J40" s="68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</row>
    <row r="41" spans="2:55" ht="15" customHeight="1" x14ac:dyDescent="0.2">
      <c r="B41" s="92"/>
      <c r="C41" s="20">
        <v>2</v>
      </c>
      <c r="D41" s="21" t="s">
        <v>1</v>
      </c>
      <c r="E41" s="6">
        <f>+IF(Cuestionario!$D$47="Si",100%,0)</f>
        <v>1</v>
      </c>
      <c r="F41" s="14">
        <f>+E41*((1/5)/4)</f>
        <v>0.05</v>
      </c>
      <c r="G41" s="104"/>
      <c r="H41" s="99"/>
      <c r="I41" s="17"/>
      <c r="J41" s="68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</row>
    <row r="42" spans="2:55" ht="15" customHeight="1" x14ac:dyDescent="0.2">
      <c r="B42" s="92"/>
      <c r="C42" s="20" t="s">
        <v>31</v>
      </c>
      <c r="D42" s="21" t="s">
        <v>67</v>
      </c>
      <c r="E42" s="6">
        <f>+IF(Cuestionario!$D$48="Directa",100%,IF(Cuestionario!$D$48="Indirecta",50%,0))</f>
        <v>1</v>
      </c>
      <c r="F42" s="14">
        <f t="shared" ref="F42:F44" si="5">+E42*((1/5)/4)</f>
        <v>0.05</v>
      </c>
      <c r="G42" s="104"/>
      <c r="H42" s="99"/>
      <c r="I42" s="68"/>
      <c r="J42" s="68"/>
      <c r="K42" s="68"/>
      <c r="L42" s="68"/>
      <c r="M42" s="68"/>
      <c r="N42" s="68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</row>
    <row r="43" spans="2:55" ht="15" customHeight="1" x14ac:dyDescent="0.2">
      <c r="B43" s="92"/>
      <c r="C43" s="20" t="s">
        <v>32</v>
      </c>
      <c r="D43" s="21" t="s">
        <v>6</v>
      </c>
      <c r="E43" s="6">
        <f>+IF(Cuestionario!$D$49="Si",100%,0)</f>
        <v>1</v>
      </c>
      <c r="F43" s="14">
        <f t="shared" si="5"/>
        <v>0.05</v>
      </c>
      <c r="G43" s="104"/>
      <c r="H43" s="99"/>
      <c r="I43" s="68"/>
      <c r="J43" s="68"/>
      <c r="K43" s="68"/>
      <c r="L43" s="68"/>
      <c r="M43" s="68"/>
      <c r="N43" s="68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</row>
    <row r="44" spans="2:55" ht="15" customHeight="1" x14ac:dyDescent="0.2">
      <c r="B44" s="92"/>
      <c r="C44" s="20" t="s">
        <v>33</v>
      </c>
      <c r="D44" s="21" t="s">
        <v>19</v>
      </c>
      <c r="E44" s="6">
        <f>+IF(Cuestionario!$D$50="Si",100%,0)</f>
        <v>1</v>
      </c>
      <c r="F44" s="14">
        <f t="shared" si="5"/>
        <v>0.05</v>
      </c>
      <c r="G44" s="104"/>
      <c r="H44" s="99"/>
      <c r="I44" s="68"/>
      <c r="J44" s="68"/>
      <c r="K44" s="68"/>
      <c r="L44" s="68"/>
      <c r="M44" s="68"/>
      <c r="N44" s="68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</row>
    <row r="45" spans="2:55" ht="15" customHeight="1" x14ac:dyDescent="0.2">
      <c r="B45" s="92"/>
      <c r="C45" s="20">
        <v>3</v>
      </c>
      <c r="D45" s="21" t="s">
        <v>68</v>
      </c>
      <c r="E45" s="6">
        <f>+IF(Cuestionario!$D$51="1 a 3",50%,IF(Cuestionario!$D$51="4 a 8",75%,IF(Cuestionario!$D$51="9 o más",100%,0)))</f>
        <v>0.5</v>
      </c>
      <c r="F45" s="14">
        <f>+E45*((1/5))</f>
        <v>0.1</v>
      </c>
      <c r="G45" s="104"/>
      <c r="H45" s="99"/>
      <c r="I45" s="68"/>
      <c r="J45" s="68"/>
      <c r="K45" s="68"/>
      <c r="L45" s="68"/>
      <c r="M45" s="68"/>
      <c r="N45" s="68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</row>
    <row r="46" spans="2:55" ht="15" customHeight="1" x14ac:dyDescent="0.2">
      <c r="B46" s="92"/>
      <c r="C46" s="20">
        <v>4</v>
      </c>
      <c r="D46" s="21" t="s">
        <v>4</v>
      </c>
      <c r="E46" s="6">
        <f>+IF(Cuestionario!$D$52="Si",100%,0)</f>
        <v>1</v>
      </c>
      <c r="F46" s="14">
        <f>+E46*((1/5)/3)</f>
        <v>6.6666666666666666E-2</v>
      </c>
      <c r="G46" s="104"/>
      <c r="H46" s="99"/>
      <c r="I46" s="68"/>
      <c r="J46" s="68"/>
      <c r="K46" s="68"/>
      <c r="L46" s="68"/>
      <c r="M46" s="68"/>
      <c r="N46" s="68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</row>
    <row r="47" spans="2:55" ht="15" customHeight="1" x14ac:dyDescent="0.2">
      <c r="B47" s="92"/>
      <c r="C47" s="20" t="s">
        <v>34</v>
      </c>
      <c r="D47" s="21" t="s">
        <v>7</v>
      </c>
      <c r="E47" s="6">
        <f>+IF(Cuestionario!$D$53="Si",100%,0)</f>
        <v>1</v>
      </c>
      <c r="F47" s="14">
        <f t="shared" ref="F47:F48" si="6">+E47*((1/5)/3)</f>
        <v>6.6666666666666666E-2</v>
      </c>
      <c r="G47" s="104"/>
      <c r="H47" s="99"/>
      <c r="I47" s="68"/>
      <c r="J47" s="68"/>
      <c r="K47" s="68"/>
      <c r="L47" s="68"/>
      <c r="M47" s="68"/>
      <c r="N47" s="68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</row>
    <row r="48" spans="2:55" ht="15" customHeight="1" x14ac:dyDescent="0.2">
      <c r="B48" s="92"/>
      <c r="C48" s="20" t="s">
        <v>35</v>
      </c>
      <c r="D48" s="21" t="s">
        <v>61</v>
      </c>
      <c r="E48" s="6">
        <f>+IF(Cuestionario!$D$54="Comercialización",100%,IF(Cuestionario!$D$54="Abastecimiento",100%,0))</f>
        <v>1</v>
      </c>
      <c r="F48" s="14">
        <f t="shared" si="6"/>
        <v>6.6666666666666666E-2</v>
      </c>
      <c r="G48" s="104"/>
      <c r="H48" s="99"/>
      <c r="I48" s="68"/>
      <c r="J48" s="68"/>
      <c r="K48" s="68"/>
      <c r="L48" s="68"/>
      <c r="M48" s="68"/>
      <c r="N48" s="68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</row>
    <row r="49" spans="2:55" ht="15" customHeight="1" x14ac:dyDescent="0.2">
      <c r="B49" s="93"/>
      <c r="C49" s="20">
        <v>5</v>
      </c>
      <c r="D49" s="21" t="s">
        <v>113</v>
      </c>
      <c r="E49" s="6">
        <f>+IF(Cuestionario!$D$55="1 a 3",50%,IF(Cuestionario!$D$55="4 a 8",75%,IF(Cuestionario!$D$55="9 o más",100%,0)))</f>
        <v>0.5</v>
      </c>
      <c r="F49" s="14">
        <f>+E49*((1/5))</f>
        <v>0.1</v>
      </c>
      <c r="G49" s="105"/>
      <c r="H49" s="99"/>
      <c r="I49" s="68"/>
      <c r="J49" s="68"/>
      <c r="K49" s="68"/>
      <c r="L49" s="68"/>
      <c r="M49" s="68"/>
      <c r="N49" s="68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</row>
    <row r="50" spans="2:55" ht="15" customHeight="1" x14ac:dyDescent="0.2">
      <c r="B50" s="91">
        <v>0.04</v>
      </c>
      <c r="C50" s="74" t="s">
        <v>159</v>
      </c>
      <c r="D50" s="74"/>
      <c r="E50" s="66"/>
      <c r="F50" s="67"/>
      <c r="G50" s="94">
        <f>+SUM(F51:F54)*B50</f>
        <v>1.6666666666666666E-3</v>
      </c>
      <c r="H50" s="99"/>
      <c r="I50" s="68"/>
      <c r="J50" s="68"/>
      <c r="K50" s="68"/>
      <c r="L50" s="68"/>
      <c r="M50" s="68"/>
      <c r="N50" s="68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</row>
    <row r="51" spans="2:55" ht="15" customHeight="1" x14ac:dyDescent="0.2">
      <c r="B51" s="92"/>
      <c r="C51" s="20">
        <v>1</v>
      </c>
      <c r="D51" s="21" t="s">
        <v>160</v>
      </c>
      <c r="E51" s="6">
        <f>+IF(Cuestionario!$D$57="Si",100%,0)</f>
        <v>0</v>
      </c>
      <c r="F51" s="14">
        <f>+E51*((1/2)/3)</f>
        <v>0</v>
      </c>
      <c r="G51" s="95"/>
      <c r="H51" s="99"/>
      <c r="I51" s="68"/>
      <c r="J51" s="68"/>
      <c r="K51" s="68"/>
      <c r="L51" s="68"/>
      <c r="M51" s="68"/>
      <c r="N51" s="68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</row>
    <row r="52" spans="2:55" ht="15" customHeight="1" x14ac:dyDescent="0.2">
      <c r="B52" s="92"/>
      <c r="C52" s="20" t="s">
        <v>64</v>
      </c>
      <c r="D52" s="21" t="s">
        <v>161</v>
      </c>
      <c r="E52" s="66">
        <f>+IF(Cuestionario!D58="Comercio Transfronterizo",25%,IF(Cuestionario!D58="Consumo en el exterior",50%,IF(Cuestionario!D58="Movimiento de Personas",75%,IF(Cuestionario!D58="Presencia Comercial",100%,0))))</f>
        <v>0.25</v>
      </c>
      <c r="F52" s="14">
        <f t="shared" ref="F52:F53" si="7">+E52*((1/2)/3)</f>
        <v>4.1666666666666664E-2</v>
      </c>
      <c r="G52" s="95"/>
      <c r="H52" s="99"/>
      <c r="I52" s="68"/>
      <c r="J52" s="68"/>
      <c r="K52" s="68"/>
      <c r="L52" s="68"/>
      <c r="M52" s="68"/>
      <c r="N52" s="68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</row>
    <row r="53" spans="2:55" ht="15" customHeight="1" x14ac:dyDescent="0.2">
      <c r="B53" s="92"/>
      <c r="C53" s="20" t="s">
        <v>162</v>
      </c>
      <c r="D53" s="21" t="s">
        <v>163</v>
      </c>
      <c r="E53" s="6">
        <f>+IF(Cuestionario!$D$57="Si",100%,0)</f>
        <v>0</v>
      </c>
      <c r="F53" s="14">
        <f t="shared" si="7"/>
        <v>0</v>
      </c>
      <c r="G53" s="95"/>
      <c r="H53" s="99"/>
      <c r="I53" s="68"/>
      <c r="J53" s="68"/>
      <c r="K53" s="68"/>
      <c r="L53" s="68"/>
      <c r="M53" s="68"/>
      <c r="N53" s="68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</row>
    <row r="54" spans="2:55" ht="15" customHeight="1" x14ac:dyDescent="0.2">
      <c r="B54" s="93"/>
      <c r="C54" s="20">
        <v>2</v>
      </c>
      <c r="D54" s="21" t="s">
        <v>164</v>
      </c>
      <c r="E54" s="6">
        <f>+IF(Cuestionario!$D$60="1 a 3",50%,IF(Cuestionario!$D$60="4 a 8",75%,IF(Cuestionario!$D$60="9 o más",100%,0)))</f>
        <v>0</v>
      </c>
      <c r="F54" s="14">
        <f>+E54*((1/2))</f>
        <v>0</v>
      </c>
      <c r="G54" s="96"/>
      <c r="H54" s="99"/>
      <c r="I54" s="68"/>
      <c r="J54" s="68"/>
      <c r="K54" s="68"/>
      <c r="L54" s="68"/>
      <c r="M54" s="68"/>
      <c r="N54" s="68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</row>
    <row r="55" spans="2:55" ht="15" customHeight="1" x14ac:dyDescent="0.2">
      <c r="B55" s="91">
        <v>0.08</v>
      </c>
      <c r="C55" s="106" t="s">
        <v>9</v>
      </c>
      <c r="D55" s="107"/>
      <c r="E55" s="107"/>
      <c r="F55" s="107"/>
      <c r="G55" s="108"/>
      <c r="H55" s="99"/>
      <c r="I55" s="68"/>
      <c r="J55" s="68"/>
      <c r="K55" s="68"/>
      <c r="L55" s="68"/>
      <c r="M55" s="68"/>
      <c r="N55" s="68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</row>
    <row r="56" spans="2:55" ht="15" customHeight="1" x14ac:dyDescent="0.2">
      <c r="B56" s="101"/>
      <c r="C56" s="20">
        <v>1</v>
      </c>
      <c r="D56" s="21" t="s">
        <v>17</v>
      </c>
      <c r="E56" s="6">
        <f>+IF(Cuestionario!$D$62="Si",100%,0)</f>
        <v>0</v>
      </c>
      <c r="F56" s="14">
        <f>+E56*((1/8))</f>
        <v>0</v>
      </c>
      <c r="G56" s="103">
        <f>+SUM(F56:F68)*B55</f>
        <v>0.01</v>
      </c>
      <c r="H56" s="99"/>
      <c r="I56" s="68"/>
      <c r="J56" s="68"/>
      <c r="K56" s="68"/>
      <c r="L56" s="68"/>
      <c r="M56" s="68"/>
      <c r="N56" s="68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</row>
    <row r="57" spans="2:55" ht="15" customHeight="1" x14ac:dyDescent="0.2">
      <c r="B57" s="101"/>
      <c r="C57" s="20">
        <v>2</v>
      </c>
      <c r="D57" s="21" t="s">
        <v>10</v>
      </c>
      <c r="E57" s="6">
        <f>+IF(Cuestionario!$D$63="Si",100%,0)</f>
        <v>0</v>
      </c>
      <c r="F57" s="14">
        <f t="shared" ref="F57:F58" si="8">+E57*((1/8))</f>
        <v>0</v>
      </c>
      <c r="G57" s="104"/>
      <c r="H57" s="99"/>
      <c r="I57" s="68"/>
      <c r="J57" s="68"/>
      <c r="K57" s="68"/>
      <c r="L57" s="68"/>
      <c r="M57" s="68"/>
      <c r="N57" s="68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</row>
    <row r="58" spans="2:55" ht="15" customHeight="1" x14ac:dyDescent="0.2">
      <c r="B58" s="101"/>
      <c r="C58" s="20">
        <v>3</v>
      </c>
      <c r="D58" s="21" t="s">
        <v>11</v>
      </c>
      <c r="E58" s="6">
        <f>+IF(Cuestionario!$D$64="Si",100%,0)</f>
        <v>1</v>
      </c>
      <c r="F58" s="14">
        <f t="shared" si="8"/>
        <v>0.125</v>
      </c>
      <c r="G58" s="104"/>
      <c r="H58" s="99"/>
      <c r="I58" s="68"/>
      <c r="J58" s="68"/>
      <c r="K58" s="68"/>
      <c r="L58" s="68"/>
      <c r="M58" s="68"/>
      <c r="N58" s="68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</row>
    <row r="59" spans="2:55" ht="15" customHeight="1" x14ac:dyDescent="0.2">
      <c r="B59" s="101"/>
      <c r="C59" s="20">
        <v>4</v>
      </c>
      <c r="D59" s="21" t="s">
        <v>12</v>
      </c>
      <c r="E59" s="6">
        <f>+IF(Cuestionario!$D$65="Si",100%,0)</f>
        <v>0</v>
      </c>
      <c r="F59" s="14">
        <f>+E59*((1/8)/3)</f>
        <v>0</v>
      </c>
      <c r="G59" s="104"/>
      <c r="H59" s="99"/>
      <c r="I59" s="68"/>
      <c r="J59" s="68"/>
      <c r="K59" s="68"/>
      <c r="L59" s="68"/>
      <c r="M59" s="68"/>
      <c r="N59" s="68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</row>
    <row r="60" spans="2:55" ht="15" customHeight="1" x14ac:dyDescent="0.2">
      <c r="B60" s="101"/>
      <c r="C60" s="20" t="s">
        <v>34</v>
      </c>
      <c r="D60" s="21" t="s">
        <v>13</v>
      </c>
      <c r="E60" s="6">
        <f>+IF(Cuestionario!$D$66="Hasta 100.000 USD",50%,IF(Cuestionario!$D$66="Entre 100.001 y 500.000 USD",75%,IF(Cuestionario!$D$66="Más de 500.000 USD",100%,0)))</f>
        <v>0</v>
      </c>
      <c r="F60" s="14">
        <f t="shared" ref="F60:F61" si="9">+E60*((1/8)/3)</f>
        <v>0</v>
      </c>
      <c r="G60" s="104"/>
      <c r="H60" s="99"/>
      <c r="I60" s="68"/>
      <c r="J60" s="68"/>
      <c r="K60" s="68"/>
      <c r="L60" s="68"/>
      <c r="M60" s="68"/>
      <c r="N60" s="68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</row>
    <row r="61" spans="2:55" ht="15" customHeight="1" x14ac:dyDescent="0.2">
      <c r="B61" s="101"/>
      <c r="C61" s="20" t="s">
        <v>35</v>
      </c>
      <c r="D61" s="21" t="s">
        <v>27</v>
      </c>
      <c r="E61" s="6">
        <f>+IF(Cuestionario!$D$67="Fusión",50%,IF(Cuestionario!$D$67="Adquisición",75%,IF(Cuestionario!$D$67="Greenfield",100%,0)))</f>
        <v>0</v>
      </c>
      <c r="F61" s="14">
        <f t="shared" si="9"/>
        <v>0</v>
      </c>
      <c r="G61" s="104"/>
      <c r="H61" s="99"/>
      <c r="I61" s="68"/>
      <c r="J61" s="68"/>
      <c r="K61" s="68"/>
      <c r="L61" s="68"/>
      <c r="M61" s="68"/>
      <c r="N61" s="68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</row>
    <row r="62" spans="2:55" ht="15" customHeight="1" x14ac:dyDescent="0.2">
      <c r="B62" s="101"/>
      <c r="C62" s="20">
        <v>5</v>
      </c>
      <c r="D62" s="21" t="s">
        <v>14</v>
      </c>
      <c r="E62" s="6">
        <f>+IF(Cuestionario!$D$68="Si",100%,0)</f>
        <v>0</v>
      </c>
      <c r="F62" s="14">
        <f>+E62*((1/8)/2)</f>
        <v>0</v>
      </c>
      <c r="G62" s="104"/>
      <c r="H62" s="99"/>
      <c r="I62" s="68"/>
      <c r="J62" s="68"/>
      <c r="K62" s="68"/>
      <c r="L62" s="68"/>
      <c r="M62" s="68"/>
      <c r="N62" s="68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</row>
    <row r="63" spans="2:55" ht="15" customHeight="1" x14ac:dyDescent="0.2">
      <c r="B63" s="101"/>
      <c r="C63" s="20" t="s">
        <v>36</v>
      </c>
      <c r="D63" s="21" t="s">
        <v>15</v>
      </c>
      <c r="E63" s="6">
        <f>+IF(Cuestionario!$D$69="Hasta 100.000 USD",50%,IF(Cuestionario!$D$69="Entre 100.001 y 500.000 USD",75%,IF(Cuestionario!$D$69="Más de 500.000 USD",100%,0)))</f>
        <v>0</v>
      </c>
      <c r="F63" s="14">
        <f>+E63*((1/8)/2)</f>
        <v>0</v>
      </c>
      <c r="G63" s="104"/>
      <c r="H63" s="99"/>
      <c r="I63" s="68"/>
      <c r="J63" s="68"/>
      <c r="K63" s="68"/>
      <c r="L63" s="68"/>
      <c r="M63" s="68"/>
      <c r="N63" s="68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</row>
    <row r="64" spans="2:55" ht="15" customHeight="1" x14ac:dyDescent="0.2">
      <c r="B64" s="101"/>
      <c r="C64" s="20">
        <v>6</v>
      </c>
      <c r="D64" s="21" t="s">
        <v>16</v>
      </c>
      <c r="E64" s="6">
        <f>+IF(Cuestionario!$D$70="Si",100%,0)</f>
        <v>0</v>
      </c>
      <c r="F64" s="14">
        <f>+E64*((1/8)/3)</f>
        <v>0</v>
      </c>
      <c r="G64" s="104"/>
      <c r="H64" s="99"/>
      <c r="I64" s="68"/>
      <c r="J64" s="68"/>
      <c r="K64" s="68"/>
      <c r="L64" s="68"/>
      <c r="M64" s="68"/>
      <c r="N64" s="68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</row>
    <row r="65" spans="2:55" ht="15" customHeight="1" x14ac:dyDescent="0.2">
      <c r="B65" s="101"/>
      <c r="C65" s="20" t="s">
        <v>94</v>
      </c>
      <c r="D65" s="21" t="s">
        <v>121</v>
      </c>
      <c r="E65" s="6">
        <f>+IF(Cuestionario!$D$71="Si",100%,0)</f>
        <v>0</v>
      </c>
      <c r="F65" s="14">
        <f t="shared" ref="F65:F66" si="10">+E65*((1/8)/3)</f>
        <v>0</v>
      </c>
      <c r="G65" s="104"/>
      <c r="H65" s="99"/>
      <c r="I65" s="68"/>
      <c r="J65" s="68"/>
      <c r="K65" s="68"/>
      <c r="L65" s="68"/>
      <c r="M65" s="68"/>
      <c r="N65" s="68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</row>
    <row r="66" spans="2:55" ht="15" customHeight="1" x14ac:dyDescent="0.2">
      <c r="B66" s="101"/>
      <c r="C66" s="20" t="s">
        <v>111</v>
      </c>
      <c r="D66" s="21" t="s">
        <v>122</v>
      </c>
      <c r="E66" s="6">
        <f>+IF(Cuestionario!$D$72="Hasta 100.000 USD",50%,IF(Cuestionario!$D$72="Entre 100.001 y 500.000 USD",75%,IF(Cuestionario!$D$72="Más de 500.000 USD",100%,0)))</f>
        <v>0</v>
      </c>
      <c r="F66" s="14">
        <f t="shared" si="10"/>
        <v>0</v>
      </c>
      <c r="G66" s="104"/>
      <c r="H66" s="99"/>
      <c r="I66" s="68"/>
      <c r="J66" s="68"/>
      <c r="K66" s="68"/>
      <c r="L66" s="68"/>
      <c r="M66" s="68"/>
      <c r="N66" s="68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</row>
    <row r="67" spans="2:55" ht="15" customHeight="1" x14ac:dyDescent="0.2">
      <c r="B67" s="101"/>
      <c r="C67" s="20">
        <v>7</v>
      </c>
      <c r="D67" s="21" t="s">
        <v>69</v>
      </c>
      <c r="E67" s="6">
        <f>+IF(Cuestionario!$D$73="1 a 3",50%,IF(Cuestionario!$D$73="4 a 8",75%,IF(Cuestionario!$D$73="9 o más",100%,0)))</f>
        <v>0</v>
      </c>
      <c r="F67" s="14">
        <f>+E67*((1/8))</f>
        <v>0</v>
      </c>
      <c r="G67" s="104"/>
      <c r="H67" s="99"/>
      <c r="I67" s="68"/>
      <c r="J67" s="68"/>
      <c r="K67" s="68"/>
      <c r="L67" s="68"/>
      <c r="M67" s="68"/>
      <c r="N67" s="68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</row>
    <row r="68" spans="2:55" ht="15" customHeight="1" x14ac:dyDescent="0.2">
      <c r="B68" s="102"/>
      <c r="C68" s="20">
        <v>8</v>
      </c>
      <c r="D68" s="21" t="s">
        <v>70</v>
      </c>
      <c r="E68" s="6">
        <f>+IF(Cuestionario!$D$74="1 a 3",50%,IF(Cuestionario!$D$74="4 a 8",75%,IF(Cuestionario!$D$74="9 o más",100%,0)))</f>
        <v>0</v>
      </c>
      <c r="F68" s="14">
        <f>+E68*((1/8))</f>
        <v>0</v>
      </c>
      <c r="G68" s="105"/>
      <c r="H68" s="99"/>
      <c r="I68" s="68"/>
      <c r="J68" s="68"/>
      <c r="K68" s="68"/>
      <c r="L68" s="68"/>
      <c r="M68" s="68"/>
      <c r="N68" s="68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</row>
    <row r="69" spans="2:55" ht="15" customHeight="1" x14ac:dyDescent="0.2">
      <c r="B69" s="91">
        <v>7.0000000000000007E-2</v>
      </c>
      <c r="C69" s="106" t="s">
        <v>20</v>
      </c>
      <c r="D69" s="107"/>
      <c r="E69" s="107"/>
      <c r="F69" s="107"/>
      <c r="G69" s="108"/>
      <c r="H69" s="99"/>
      <c r="I69" s="17"/>
      <c r="J69" s="68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</row>
    <row r="70" spans="2:55" ht="15" customHeight="1" x14ac:dyDescent="0.2">
      <c r="B70" s="92"/>
      <c r="C70" s="20">
        <v>1</v>
      </c>
      <c r="D70" s="21" t="s">
        <v>71</v>
      </c>
      <c r="E70" s="6">
        <f>+IF(Cuestionario!$D$76="Si",100%,0)</f>
        <v>0</v>
      </c>
      <c r="F70" s="14">
        <f>+E70*((1/6))</f>
        <v>0</v>
      </c>
      <c r="G70" s="103">
        <f>+SUM(F70:F75)*B69</f>
        <v>0</v>
      </c>
      <c r="H70" s="99"/>
      <c r="I70" s="17"/>
      <c r="J70" s="68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</row>
    <row r="71" spans="2:55" ht="15" customHeight="1" x14ac:dyDescent="0.2">
      <c r="B71" s="92"/>
      <c r="C71" s="20">
        <v>2</v>
      </c>
      <c r="D71" s="21" t="s">
        <v>21</v>
      </c>
      <c r="E71" s="6">
        <f>+IF(Cuestionario!$D$77="Si",100%,0)</f>
        <v>0</v>
      </c>
      <c r="F71" s="14">
        <f t="shared" ref="F71:F75" si="11">+E71*((1/6))</f>
        <v>0</v>
      </c>
      <c r="G71" s="104"/>
      <c r="H71" s="99"/>
      <c r="I71" s="17"/>
      <c r="J71" s="68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</row>
    <row r="72" spans="2:55" ht="15" customHeight="1" x14ac:dyDescent="0.2">
      <c r="B72" s="92"/>
      <c r="C72" s="20">
        <v>3</v>
      </c>
      <c r="D72" s="21" t="s">
        <v>23</v>
      </c>
      <c r="E72" s="6">
        <f>+IF(Cuestionario!$D$78="Si",100%,0)</f>
        <v>0</v>
      </c>
      <c r="F72" s="14">
        <f t="shared" si="11"/>
        <v>0</v>
      </c>
      <c r="G72" s="104"/>
      <c r="H72" s="99"/>
      <c r="I72" s="17"/>
      <c r="J72" s="68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</row>
    <row r="73" spans="2:55" ht="15" customHeight="1" x14ac:dyDescent="0.2">
      <c r="B73" s="92"/>
      <c r="C73" s="20">
        <v>4</v>
      </c>
      <c r="D73" s="21" t="s">
        <v>24</v>
      </c>
      <c r="E73" s="6">
        <f>+IF(Cuestionario!$D$79="Si",100%,0)</f>
        <v>0</v>
      </c>
      <c r="F73" s="14">
        <f t="shared" si="11"/>
        <v>0</v>
      </c>
      <c r="G73" s="104"/>
      <c r="H73" s="99"/>
      <c r="I73" s="17"/>
      <c r="J73" s="68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</row>
    <row r="74" spans="2:55" ht="15" customHeight="1" x14ac:dyDescent="0.2">
      <c r="B74" s="92"/>
      <c r="C74" s="20">
        <v>5</v>
      </c>
      <c r="D74" s="21" t="s">
        <v>22</v>
      </c>
      <c r="E74" s="6">
        <f>+IF(Cuestionario!$D$80="Si",100%,0)</f>
        <v>0</v>
      </c>
      <c r="F74" s="14">
        <f t="shared" si="11"/>
        <v>0</v>
      </c>
      <c r="G74" s="104"/>
      <c r="H74" s="99"/>
      <c r="I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</row>
    <row r="75" spans="2:55" ht="15" customHeight="1" x14ac:dyDescent="0.2">
      <c r="B75" s="93"/>
      <c r="C75" s="20">
        <v>6</v>
      </c>
      <c r="D75" s="21" t="s">
        <v>25</v>
      </c>
      <c r="E75" s="6">
        <f>+IF(Cuestionario!$D$81="Si",100%,0)</f>
        <v>0</v>
      </c>
      <c r="F75" s="14">
        <f t="shared" si="11"/>
        <v>0</v>
      </c>
      <c r="G75" s="105"/>
      <c r="H75" s="99"/>
      <c r="I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</row>
    <row r="76" spans="2:55" ht="15" customHeight="1" x14ac:dyDescent="0.2">
      <c r="B76" s="91">
        <v>0.03</v>
      </c>
      <c r="C76" s="88" t="s">
        <v>46</v>
      </c>
      <c r="D76" s="89"/>
      <c r="E76" s="35"/>
      <c r="F76" s="35"/>
      <c r="G76" s="3"/>
      <c r="H76" s="99"/>
      <c r="I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</row>
    <row r="77" spans="2:55" ht="23.25" customHeight="1" x14ac:dyDescent="0.3">
      <c r="B77" s="92"/>
      <c r="C77" s="31">
        <v>1</v>
      </c>
      <c r="D77" s="36" t="s">
        <v>47</v>
      </c>
      <c r="E77" s="37">
        <f>+IF(Cuestionario!$D$83="Si",100%,0)</f>
        <v>1</v>
      </c>
      <c r="F77" s="38">
        <f>+E77*(1/1)</f>
        <v>1</v>
      </c>
      <c r="G77" s="40">
        <f>+SUM(F77)*B76</f>
        <v>0.03</v>
      </c>
      <c r="H77" s="99"/>
      <c r="I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</row>
    <row r="78" spans="2:55" ht="32" x14ac:dyDescent="0.2">
      <c r="B78" s="9" t="s">
        <v>98</v>
      </c>
      <c r="C78" s="74" t="s">
        <v>30</v>
      </c>
      <c r="D78" s="74"/>
      <c r="E78" s="9" t="s">
        <v>99</v>
      </c>
      <c r="F78" s="34" t="s">
        <v>98</v>
      </c>
      <c r="G78" s="34" t="s">
        <v>100</v>
      </c>
      <c r="H78" s="99"/>
      <c r="I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</row>
    <row r="79" spans="2:55" ht="15" customHeight="1" x14ac:dyDescent="0.2">
      <c r="B79" s="90">
        <v>0.2</v>
      </c>
      <c r="C79" s="20">
        <v>1</v>
      </c>
      <c r="D79" s="21" t="s">
        <v>37</v>
      </c>
      <c r="E79" s="37">
        <f>+IF(Cuestionario!$D$87="Si",100%,0)</f>
        <v>1</v>
      </c>
      <c r="F79" s="39">
        <f>+E79*((1/8))</f>
        <v>0.125</v>
      </c>
      <c r="G79" s="97">
        <f>+SUM(F79:F88)*B79</f>
        <v>0.12187500000000001</v>
      </c>
      <c r="H79" s="99"/>
      <c r="I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</row>
    <row r="80" spans="2:55" ht="15" customHeight="1" x14ac:dyDescent="0.2">
      <c r="B80" s="82"/>
      <c r="C80" s="20">
        <v>2</v>
      </c>
      <c r="D80" s="21" t="s">
        <v>38</v>
      </c>
      <c r="E80" s="37">
        <f>+IF(Cuestionario!$D$88="Si",100%,0)</f>
        <v>1</v>
      </c>
      <c r="F80" s="39">
        <f>+E80*((1/8)/4)</f>
        <v>3.125E-2</v>
      </c>
      <c r="G80" s="97"/>
      <c r="H80" s="99"/>
      <c r="I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</row>
    <row r="81" spans="2:55" ht="15" customHeight="1" x14ac:dyDescent="0.2">
      <c r="B81" s="82"/>
      <c r="C81" s="20" t="s">
        <v>31</v>
      </c>
      <c r="D81" s="21" t="s">
        <v>39</v>
      </c>
      <c r="E81" s="6">
        <f>+IF(Cuestionario!$D$89="Diferenciación",50%,IF(Cuestionario!$D$89="Precio",75%,IF(Cuestionario!$D$89="Competencia",100%,0)))</f>
        <v>0.5</v>
      </c>
      <c r="F81" s="39">
        <f>+E81*((1/8)/4)</f>
        <v>1.5625E-2</v>
      </c>
      <c r="G81" s="97"/>
      <c r="H81" s="99"/>
      <c r="I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</row>
    <row r="82" spans="2:55" ht="15" customHeight="1" x14ac:dyDescent="0.2">
      <c r="B82" s="82"/>
      <c r="C82" s="20" t="s">
        <v>33</v>
      </c>
      <c r="D82" s="21" t="s">
        <v>41</v>
      </c>
      <c r="E82" s="37">
        <f>+IF(Cuestionario!$D$90="Si",100%,0)</f>
        <v>1</v>
      </c>
      <c r="F82" s="39">
        <f>+E82*((1/8)/4)</f>
        <v>3.125E-2</v>
      </c>
      <c r="G82" s="97"/>
      <c r="H82" s="99"/>
      <c r="I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</row>
    <row r="83" spans="2:55" ht="15" customHeight="1" x14ac:dyDescent="0.2">
      <c r="B83" s="82"/>
      <c r="C83" s="20" t="s">
        <v>42</v>
      </c>
      <c r="D83" s="21" t="s">
        <v>74</v>
      </c>
      <c r="E83" s="37">
        <f>+IF(Cuestionario!$D$91="Si",100%,0)</f>
        <v>1</v>
      </c>
      <c r="F83" s="39">
        <f>+E83*((1/8)/4)</f>
        <v>3.125E-2</v>
      </c>
      <c r="G83" s="97"/>
      <c r="H83" s="99"/>
      <c r="I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</row>
    <row r="84" spans="2:55" ht="15" customHeight="1" x14ac:dyDescent="0.2">
      <c r="B84" s="82"/>
      <c r="C84" s="20">
        <v>3</v>
      </c>
      <c r="D84" s="21" t="s">
        <v>48</v>
      </c>
      <c r="E84" s="37">
        <f>+IF(Cuestionario!$D$92="Si",100%,0)</f>
        <v>0</v>
      </c>
      <c r="F84" s="39">
        <f t="shared" ref="F84:F89" si="12">+E84*((1/8))</f>
        <v>0</v>
      </c>
      <c r="G84" s="97"/>
      <c r="H84" s="99"/>
      <c r="I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</row>
    <row r="85" spans="2:55" ht="15" customHeight="1" x14ac:dyDescent="0.2">
      <c r="B85" s="82"/>
      <c r="C85" s="20">
        <v>4</v>
      </c>
      <c r="D85" s="21" t="s">
        <v>49</v>
      </c>
      <c r="E85" s="37">
        <f>+IF(Cuestionario!$D$93="Si",100%,0)</f>
        <v>0</v>
      </c>
      <c r="F85" s="39">
        <f t="shared" si="12"/>
        <v>0</v>
      </c>
      <c r="G85" s="97"/>
      <c r="H85" s="99"/>
      <c r="I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</row>
    <row r="86" spans="2:55" ht="15" customHeight="1" x14ac:dyDescent="0.2">
      <c r="B86" s="82"/>
      <c r="C86" s="20">
        <v>5</v>
      </c>
      <c r="D86" s="21" t="s">
        <v>50</v>
      </c>
      <c r="E86" s="37">
        <f>+IF(Cuestionario!$D$94="Si",100%,0)</f>
        <v>1</v>
      </c>
      <c r="F86" s="39">
        <f t="shared" si="12"/>
        <v>0.125</v>
      </c>
      <c r="G86" s="97"/>
      <c r="H86" s="99"/>
      <c r="I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</row>
    <row r="87" spans="2:55" ht="15" customHeight="1" x14ac:dyDescent="0.2">
      <c r="B87" s="82"/>
      <c r="C87" s="20">
        <v>6</v>
      </c>
      <c r="D87" s="21" t="s">
        <v>51</v>
      </c>
      <c r="E87" s="37">
        <f>+IF(Cuestionario!$D$95="Si",100%,0)</f>
        <v>1</v>
      </c>
      <c r="F87" s="39">
        <f t="shared" si="12"/>
        <v>0.125</v>
      </c>
      <c r="G87" s="97"/>
      <c r="H87" s="99"/>
      <c r="I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</row>
    <row r="88" spans="2:55" ht="15" customHeight="1" x14ac:dyDescent="0.2">
      <c r="B88" s="82"/>
      <c r="C88" s="20">
        <v>7</v>
      </c>
      <c r="D88" s="21" t="s">
        <v>75</v>
      </c>
      <c r="E88" s="37">
        <f>+IF(Cuestionario!$D$96="Si",100%,0)</f>
        <v>1</v>
      </c>
      <c r="F88" s="39">
        <f t="shared" si="12"/>
        <v>0.125</v>
      </c>
      <c r="G88" s="97"/>
      <c r="H88" s="99"/>
      <c r="I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</row>
    <row r="89" spans="2:55" ht="15" customHeight="1" x14ac:dyDescent="0.2">
      <c r="B89" s="82"/>
      <c r="C89" s="20">
        <v>8</v>
      </c>
      <c r="D89" s="21" t="s">
        <v>171</v>
      </c>
      <c r="E89" s="37">
        <f>+IF(Cuestionario!$D$97="Si",100%,0)</f>
        <v>1</v>
      </c>
      <c r="F89" s="39">
        <f t="shared" si="12"/>
        <v>0.125</v>
      </c>
      <c r="G89" s="97"/>
      <c r="H89" s="100"/>
      <c r="I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</row>
    <row r="90" spans="2:55" s="17" customFormat="1" x14ac:dyDescent="0.2"/>
    <row r="91" spans="2:55" s="17" customFormat="1" x14ac:dyDescent="0.2"/>
    <row r="92" spans="2:55" s="17" customFormat="1" x14ac:dyDescent="0.2"/>
    <row r="93" spans="2:55" s="17" customFormat="1" x14ac:dyDescent="0.2"/>
    <row r="94" spans="2:55" s="17" customFormat="1" x14ac:dyDescent="0.2"/>
    <row r="95" spans="2:55" s="17" customFormat="1" x14ac:dyDescent="0.2"/>
    <row r="96" spans="2:55" s="17" customFormat="1" x14ac:dyDescent="0.2"/>
    <row r="97" s="17" customFormat="1" x14ac:dyDescent="0.2"/>
    <row r="98" s="17" customFormat="1" x14ac:dyDescent="0.2"/>
    <row r="99" s="17" customFormat="1" x14ac:dyDescent="0.2"/>
    <row r="100" s="17" customFormat="1" x14ac:dyDescent="0.2"/>
    <row r="101" s="17" customFormat="1" x14ac:dyDescent="0.2"/>
    <row r="102" s="17" customFormat="1" x14ac:dyDescent="0.2"/>
    <row r="103" s="17" customFormat="1" x14ac:dyDescent="0.2"/>
    <row r="104" s="17" customFormat="1" x14ac:dyDescent="0.2"/>
    <row r="105" s="17" customFormat="1" x14ac:dyDescent="0.2"/>
    <row r="106" s="17" customFormat="1" x14ac:dyDescent="0.2"/>
    <row r="107" s="17" customFormat="1" x14ac:dyDescent="0.2"/>
    <row r="108" s="17" customFormat="1" x14ac:dyDescent="0.2"/>
    <row r="109" s="17" customFormat="1" x14ac:dyDescent="0.2"/>
    <row r="110" s="17" customFormat="1" x14ac:dyDescent="0.2"/>
    <row r="111" s="17" customFormat="1" x14ac:dyDescent="0.2"/>
    <row r="112" s="17" customFormat="1" x14ac:dyDescent="0.2"/>
    <row r="113" spans="9:9" s="17" customFormat="1" x14ac:dyDescent="0.2"/>
    <row r="114" spans="9:9" s="17" customFormat="1" x14ac:dyDescent="0.2"/>
    <row r="115" spans="9:9" s="17" customFormat="1" x14ac:dyDescent="0.2"/>
    <row r="116" spans="9:9" s="17" customFormat="1" x14ac:dyDescent="0.2"/>
    <row r="117" spans="9:9" s="17" customFormat="1" x14ac:dyDescent="0.2"/>
    <row r="118" spans="9:9" s="17" customFormat="1" x14ac:dyDescent="0.2"/>
    <row r="119" spans="9:9" s="17" customFormat="1" x14ac:dyDescent="0.2"/>
    <row r="120" spans="9:9" s="17" customFormat="1" x14ac:dyDescent="0.2"/>
    <row r="121" spans="9:9" s="17" customFormat="1" x14ac:dyDescent="0.2"/>
    <row r="122" spans="9:9" x14ac:dyDescent="0.2">
      <c r="I122" s="17"/>
    </row>
    <row r="123" spans="9:9" x14ac:dyDescent="0.2">
      <c r="I123" s="17"/>
    </row>
    <row r="124" spans="9:9" x14ac:dyDescent="0.2">
      <c r="I124" s="17"/>
    </row>
    <row r="125" spans="9:9" x14ac:dyDescent="0.2">
      <c r="I125" s="17"/>
    </row>
  </sheetData>
  <mergeCells count="32">
    <mergeCell ref="G79:G89"/>
    <mergeCell ref="H38:H89"/>
    <mergeCell ref="B69:B75"/>
    <mergeCell ref="B76:B77"/>
    <mergeCell ref="B79:B89"/>
    <mergeCell ref="B38:B49"/>
    <mergeCell ref="B55:B68"/>
    <mergeCell ref="G39:G49"/>
    <mergeCell ref="C55:G55"/>
    <mergeCell ref="C38:G38"/>
    <mergeCell ref="C69:G69"/>
    <mergeCell ref="G56:G68"/>
    <mergeCell ref="G70:G75"/>
    <mergeCell ref="C37:D37"/>
    <mergeCell ref="C76:D76"/>
    <mergeCell ref="C78:D78"/>
    <mergeCell ref="C17:D17"/>
    <mergeCell ref="B36:H36"/>
    <mergeCell ref="B18:B24"/>
    <mergeCell ref="G18:G24"/>
    <mergeCell ref="C25:D25"/>
    <mergeCell ref="B26:B35"/>
    <mergeCell ref="G26:G35"/>
    <mergeCell ref="C50:D50"/>
    <mergeCell ref="B50:B54"/>
    <mergeCell ref="G50:G54"/>
    <mergeCell ref="B3:B11"/>
    <mergeCell ref="G3:G11"/>
    <mergeCell ref="C2:D2"/>
    <mergeCell ref="C12:D12"/>
    <mergeCell ref="B13:B16"/>
    <mergeCell ref="G13:G1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42FC9-7D8A-4BEB-8A96-F51A91976C10}">
  <dimension ref="B1:M25"/>
  <sheetViews>
    <sheetView tabSelected="1" zoomScale="90" zoomScaleNormal="90" workbookViewId="0">
      <selection activeCell="D21" sqref="D21"/>
    </sheetView>
  </sheetViews>
  <sheetFormatPr baseColWidth="10" defaultColWidth="11.5" defaultRowHeight="15" x14ac:dyDescent="0.2"/>
  <cols>
    <col min="1" max="1" width="1.6640625" style="17" customWidth="1"/>
    <col min="2" max="2" width="38.83203125" style="17" customWidth="1"/>
    <col min="3" max="3" width="20.1640625" style="17" customWidth="1"/>
    <col min="4" max="4" width="20.6640625" style="17" customWidth="1"/>
    <col min="5" max="6" width="26.83203125" style="61" bestFit="1" customWidth="1"/>
    <col min="7" max="16384" width="11.5" style="17"/>
  </cols>
  <sheetData>
    <row r="1" spans="2:13" ht="4.5" customHeight="1" x14ac:dyDescent="0.2"/>
    <row r="2" spans="2:13" ht="6" customHeight="1" x14ac:dyDescent="0.2">
      <c r="G2" s="68"/>
      <c r="H2" s="68"/>
      <c r="I2" s="68"/>
      <c r="J2" s="68"/>
      <c r="K2" s="68"/>
      <c r="L2" s="68"/>
      <c r="M2" s="68"/>
    </row>
    <row r="3" spans="2:13" ht="9" customHeight="1" x14ac:dyDescent="0.2">
      <c r="G3" s="68"/>
      <c r="H3" s="68"/>
      <c r="I3" s="68"/>
      <c r="J3" s="68"/>
      <c r="K3" s="68"/>
      <c r="L3" s="68"/>
      <c r="M3" s="68"/>
    </row>
    <row r="4" spans="2:13" ht="50" x14ac:dyDescent="0.3">
      <c r="B4" s="64" t="s">
        <v>124</v>
      </c>
      <c r="C4" s="64" t="s">
        <v>138</v>
      </c>
      <c r="D4" s="64" t="s">
        <v>139</v>
      </c>
      <c r="E4" s="62" t="s">
        <v>140</v>
      </c>
      <c r="F4" s="62" t="s">
        <v>141</v>
      </c>
      <c r="G4" s="68"/>
      <c r="H4" s="68"/>
      <c r="I4" s="68"/>
      <c r="J4" s="68"/>
      <c r="K4" s="68"/>
      <c r="L4" s="68"/>
      <c r="M4" s="68"/>
    </row>
    <row r="5" spans="2:13" x14ac:dyDescent="0.2">
      <c r="B5" s="47" t="s">
        <v>0</v>
      </c>
      <c r="C5" s="48">
        <f>+'Formulación y Resultados'!J3</f>
        <v>6.9444444444444444E-5</v>
      </c>
      <c r="D5" s="48">
        <v>0.125</v>
      </c>
      <c r="E5" s="63">
        <f>+C5/D5</f>
        <v>5.5555555555555556E-4</v>
      </c>
      <c r="F5" s="63">
        <v>1</v>
      </c>
      <c r="G5" s="68"/>
      <c r="H5" s="68"/>
      <c r="I5" s="68"/>
      <c r="J5" s="68"/>
      <c r="K5" s="68"/>
      <c r="L5" s="68"/>
      <c r="M5" s="68"/>
    </row>
    <row r="6" spans="2:13" x14ac:dyDescent="0.2">
      <c r="B6" s="49" t="s">
        <v>78</v>
      </c>
      <c r="C6" s="50">
        <f>+'Formulación y Resultados'!J4</f>
        <v>7.4999999999999997E-2</v>
      </c>
      <c r="D6" s="50">
        <v>7.4999999999999997E-2</v>
      </c>
      <c r="E6" s="63">
        <f t="shared" ref="E6:E16" si="0">+C6/D6</f>
        <v>1</v>
      </c>
      <c r="F6" s="63">
        <v>1</v>
      </c>
      <c r="G6" s="68"/>
      <c r="H6" s="68"/>
      <c r="I6" s="68"/>
      <c r="J6" s="68"/>
      <c r="K6" s="68"/>
      <c r="L6" s="68"/>
      <c r="M6" s="68"/>
    </row>
    <row r="7" spans="2:13" x14ac:dyDescent="0.2">
      <c r="B7" s="51" t="s">
        <v>45</v>
      </c>
      <c r="C7" s="52">
        <f>+'Formulación y Resultados'!J5</f>
        <v>4.3750000000000004E-2</v>
      </c>
      <c r="D7" s="52">
        <v>0.15</v>
      </c>
      <c r="E7" s="63">
        <f t="shared" si="0"/>
        <v>0.29166666666666669</v>
      </c>
      <c r="F7" s="63">
        <v>1</v>
      </c>
      <c r="G7" s="68"/>
      <c r="H7" s="68"/>
      <c r="I7" s="68"/>
      <c r="J7" s="68"/>
      <c r="K7" s="68"/>
      <c r="L7" s="68"/>
      <c r="M7" s="68"/>
    </row>
    <row r="8" spans="2:13" x14ac:dyDescent="0.2">
      <c r="B8" s="53" t="s">
        <v>81</v>
      </c>
      <c r="C8" s="54">
        <f>+'Formulación y Resultados'!J6</f>
        <v>6.1896825396825395E-2</v>
      </c>
      <c r="D8" s="54">
        <v>0.15</v>
      </c>
      <c r="E8" s="63">
        <f t="shared" si="0"/>
        <v>0.41264550264550265</v>
      </c>
      <c r="F8" s="63">
        <v>1</v>
      </c>
      <c r="G8" s="68"/>
      <c r="H8" s="68"/>
      <c r="I8" s="68"/>
      <c r="J8" s="68"/>
      <c r="K8" s="68"/>
      <c r="L8" s="68"/>
      <c r="M8" s="68"/>
    </row>
    <row r="9" spans="2:13" ht="15.75" customHeight="1" x14ac:dyDescent="0.2">
      <c r="B9" s="55" t="s">
        <v>134</v>
      </c>
      <c r="C9" s="56">
        <f>+'Formulación y Resultados'!J7</f>
        <v>0.21954166666666666</v>
      </c>
      <c r="D9" s="56">
        <v>0.5</v>
      </c>
      <c r="E9" s="63">
        <f t="shared" si="0"/>
        <v>0.43908333333333333</v>
      </c>
      <c r="F9" s="63">
        <v>1</v>
      </c>
      <c r="G9" s="68"/>
      <c r="H9" s="68"/>
      <c r="I9" s="68"/>
      <c r="J9" s="68"/>
      <c r="K9" s="68"/>
      <c r="L9" s="68"/>
      <c r="M9" s="68"/>
    </row>
    <row r="10" spans="2:13" x14ac:dyDescent="0.2">
      <c r="B10" s="57" t="s">
        <v>142</v>
      </c>
      <c r="C10" s="58">
        <f>+SUM(C11:C15)</f>
        <v>9.7666666666666652E-2</v>
      </c>
      <c r="D10" s="58">
        <v>0.3</v>
      </c>
      <c r="E10" s="63">
        <f t="shared" si="0"/>
        <v>0.32555555555555554</v>
      </c>
      <c r="F10" s="63">
        <v>1</v>
      </c>
      <c r="G10" s="68"/>
      <c r="H10" s="68"/>
      <c r="I10" s="68"/>
      <c r="J10" s="68"/>
      <c r="K10" s="68"/>
      <c r="L10" s="68"/>
      <c r="M10" s="68"/>
    </row>
    <row r="11" spans="2:13" x14ac:dyDescent="0.2">
      <c r="B11" s="59" t="s">
        <v>158</v>
      </c>
      <c r="C11" s="60">
        <f>+'Formulación y Resultados'!J8</f>
        <v>5.5999999999999994E-2</v>
      </c>
      <c r="D11" s="60">
        <v>0.08</v>
      </c>
      <c r="E11" s="63">
        <f t="shared" si="0"/>
        <v>0.7</v>
      </c>
      <c r="F11" s="63">
        <v>1</v>
      </c>
      <c r="G11" s="68"/>
      <c r="H11" s="68"/>
      <c r="I11" s="68"/>
      <c r="J11" s="68"/>
      <c r="K11" s="68"/>
      <c r="L11" s="68"/>
      <c r="M11" s="68"/>
    </row>
    <row r="12" spans="2:13" x14ac:dyDescent="0.2">
      <c r="B12" s="59" t="s">
        <v>159</v>
      </c>
      <c r="C12" s="60">
        <f>+'Formulación y Resultados'!J9</f>
        <v>1.6666666666666666E-3</v>
      </c>
      <c r="D12" s="60">
        <v>0.04</v>
      </c>
      <c r="E12" s="63">
        <f t="shared" si="0"/>
        <v>4.1666666666666664E-2</v>
      </c>
      <c r="F12" s="63">
        <v>1</v>
      </c>
      <c r="G12" s="68"/>
      <c r="H12" s="68"/>
      <c r="I12" s="68"/>
      <c r="J12" s="68"/>
      <c r="K12" s="68"/>
      <c r="L12" s="68"/>
      <c r="M12" s="68"/>
    </row>
    <row r="13" spans="2:13" x14ac:dyDescent="0.2">
      <c r="B13" s="59" t="s">
        <v>9</v>
      </c>
      <c r="C13" s="60">
        <f>+'Formulación y Resultados'!J10</f>
        <v>0.01</v>
      </c>
      <c r="D13" s="60">
        <v>0.08</v>
      </c>
      <c r="E13" s="63">
        <f t="shared" si="0"/>
        <v>0.125</v>
      </c>
      <c r="F13" s="63">
        <v>1</v>
      </c>
      <c r="G13" s="68"/>
      <c r="H13" s="68"/>
      <c r="I13" s="68"/>
      <c r="J13" s="68"/>
      <c r="K13" s="68"/>
      <c r="L13" s="68"/>
      <c r="M13" s="68"/>
    </row>
    <row r="14" spans="2:13" x14ac:dyDescent="0.2">
      <c r="B14" s="59" t="s">
        <v>20</v>
      </c>
      <c r="C14" s="60">
        <f>+'Formulación y Resultados'!J11</f>
        <v>0</v>
      </c>
      <c r="D14" s="60">
        <v>7.0000000000000007E-2</v>
      </c>
      <c r="E14" s="63">
        <f t="shared" si="0"/>
        <v>0</v>
      </c>
      <c r="F14" s="63">
        <v>1</v>
      </c>
      <c r="G14" s="68"/>
      <c r="H14" s="68"/>
      <c r="I14" s="68"/>
      <c r="J14" s="68"/>
      <c r="K14" s="68"/>
      <c r="L14" s="68"/>
      <c r="M14" s="68"/>
    </row>
    <row r="15" spans="2:13" x14ac:dyDescent="0.2">
      <c r="B15" s="59" t="s">
        <v>136</v>
      </c>
      <c r="C15" s="60">
        <f>+'Formulación y Resultados'!J12</f>
        <v>0.03</v>
      </c>
      <c r="D15" s="60">
        <v>0.03</v>
      </c>
      <c r="E15" s="63">
        <f t="shared" si="0"/>
        <v>1</v>
      </c>
      <c r="F15" s="63">
        <v>1</v>
      </c>
      <c r="G15" s="68"/>
      <c r="H15" s="68"/>
      <c r="I15" s="68"/>
      <c r="J15" s="68"/>
      <c r="K15" s="68"/>
      <c r="L15" s="68"/>
      <c r="M15" s="68"/>
    </row>
    <row r="16" spans="2:13" x14ac:dyDescent="0.2">
      <c r="B16" s="57" t="s">
        <v>143</v>
      </c>
      <c r="C16" s="58">
        <f>+'Formulación y Resultados'!J13</f>
        <v>0.12187500000000001</v>
      </c>
      <c r="D16" s="58">
        <v>0.2</v>
      </c>
      <c r="E16" s="63">
        <f t="shared" si="0"/>
        <v>0.609375</v>
      </c>
      <c r="F16" s="63">
        <v>1</v>
      </c>
      <c r="G16" s="68"/>
      <c r="H16" s="68"/>
      <c r="I16" s="68"/>
      <c r="J16" s="68"/>
      <c r="K16" s="68"/>
      <c r="L16" s="68"/>
      <c r="M16" s="68"/>
    </row>
    <row r="17" spans="2:13" ht="19" x14ac:dyDescent="0.25">
      <c r="B17" s="46" t="s">
        <v>137</v>
      </c>
      <c r="C17" s="46">
        <f>+C5+C6+C7+C8+C9</f>
        <v>0.40025793650793651</v>
      </c>
      <c r="D17" s="46">
        <f>+D5+D6+D7+D8+D9</f>
        <v>1</v>
      </c>
      <c r="G17" s="68"/>
      <c r="H17" s="68"/>
      <c r="I17" s="68"/>
      <c r="J17" s="68"/>
      <c r="K17" s="68"/>
      <c r="L17" s="68"/>
      <c r="M17" s="68"/>
    </row>
    <row r="18" spans="2:13" ht="19" x14ac:dyDescent="0.25">
      <c r="B18" s="45"/>
      <c r="G18" s="68"/>
      <c r="H18" s="68"/>
      <c r="I18" s="68"/>
      <c r="J18" s="68"/>
      <c r="K18" s="68"/>
      <c r="L18" s="68"/>
      <c r="M18" s="68"/>
    </row>
    <row r="19" spans="2:13" x14ac:dyDescent="0.2">
      <c r="G19" s="68"/>
      <c r="H19" s="68"/>
      <c r="I19" s="68"/>
      <c r="J19" s="68"/>
      <c r="K19" s="68"/>
      <c r="L19" s="68"/>
      <c r="M19" s="68"/>
    </row>
    <row r="20" spans="2:13" x14ac:dyDescent="0.2">
      <c r="G20" s="68"/>
      <c r="H20" s="68"/>
      <c r="I20" s="68"/>
      <c r="J20" s="68"/>
      <c r="K20" s="68"/>
      <c r="L20" s="68"/>
      <c r="M20" s="68"/>
    </row>
    <row r="21" spans="2:13" x14ac:dyDescent="0.2">
      <c r="G21" s="68"/>
      <c r="H21" s="68"/>
      <c r="I21" s="68"/>
      <c r="J21" s="68"/>
      <c r="K21" s="68"/>
      <c r="L21" s="68"/>
      <c r="M21" s="68"/>
    </row>
    <row r="22" spans="2:13" x14ac:dyDescent="0.2">
      <c r="G22" s="68"/>
      <c r="H22" s="68"/>
      <c r="I22" s="68"/>
      <c r="J22" s="68"/>
      <c r="K22" s="68"/>
      <c r="L22" s="68"/>
      <c r="M22" s="68"/>
    </row>
    <row r="23" spans="2:13" x14ac:dyDescent="0.2">
      <c r="G23" s="68"/>
      <c r="H23" s="68"/>
      <c r="I23" s="68"/>
      <c r="J23" s="68"/>
      <c r="K23" s="68"/>
      <c r="L23" s="68"/>
      <c r="M23" s="68"/>
    </row>
    <row r="24" spans="2:13" x14ac:dyDescent="0.2">
      <c r="G24" s="68"/>
      <c r="H24" s="68"/>
      <c r="I24" s="68"/>
      <c r="J24" s="68"/>
      <c r="K24" s="68"/>
      <c r="L24" s="68"/>
      <c r="M24" s="68"/>
    </row>
    <row r="25" spans="2:13" x14ac:dyDescent="0.2">
      <c r="G25" s="68"/>
      <c r="H25" s="68"/>
      <c r="I25" s="68"/>
      <c r="J25" s="68"/>
      <c r="K25" s="68"/>
      <c r="L25" s="68"/>
      <c r="M25" s="68"/>
    </row>
  </sheetData>
  <phoneticPr fontId="7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835F4-3276-40E4-A8F1-BF0510C617DD}">
  <dimension ref="B1:C13"/>
  <sheetViews>
    <sheetView zoomScale="145" zoomScaleNormal="145" workbookViewId="0">
      <selection activeCell="B4" sqref="B4:C4"/>
    </sheetView>
  </sheetViews>
  <sheetFormatPr baseColWidth="10" defaultRowHeight="15" x14ac:dyDescent="0.2"/>
  <sheetData>
    <row r="1" spans="2:3" x14ac:dyDescent="0.2">
      <c r="B1" s="2">
        <f>SUM(B2:B10)</f>
        <v>1</v>
      </c>
    </row>
    <row r="2" spans="2:3" x14ac:dyDescent="0.2">
      <c r="B2" s="7">
        <v>0.125</v>
      </c>
      <c r="C2" s="1" t="s">
        <v>0</v>
      </c>
    </row>
    <row r="3" spans="2:3" x14ac:dyDescent="0.2">
      <c r="B3" s="7">
        <v>7.4999999999999997E-2</v>
      </c>
      <c r="C3" s="1" t="s">
        <v>78</v>
      </c>
    </row>
    <row r="4" spans="2:3" x14ac:dyDescent="0.2">
      <c r="B4" s="7">
        <v>0.3</v>
      </c>
      <c r="C4" s="1" t="s">
        <v>26</v>
      </c>
    </row>
    <row r="5" spans="2:3" x14ac:dyDescent="0.2">
      <c r="B5" s="8">
        <v>0.2</v>
      </c>
      <c r="C5" s="1" t="s">
        <v>30</v>
      </c>
    </row>
    <row r="6" spans="2:3" x14ac:dyDescent="0.2">
      <c r="B6" s="8">
        <v>0.15</v>
      </c>
      <c r="C6" s="1" t="s">
        <v>45</v>
      </c>
    </row>
    <row r="7" spans="2:3" x14ac:dyDescent="0.2">
      <c r="B7" s="8">
        <v>0.15</v>
      </c>
      <c r="C7" s="1" t="s">
        <v>81</v>
      </c>
    </row>
    <row r="10" spans="2:3" x14ac:dyDescent="0.2">
      <c r="B10" t="s">
        <v>154</v>
      </c>
    </row>
    <row r="11" spans="2:3" x14ac:dyDescent="0.2">
      <c r="B11" t="s">
        <v>155</v>
      </c>
    </row>
    <row r="12" spans="2:3" x14ac:dyDescent="0.2">
      <c r="B12" t="s">
        <v>156</v>
      </c>
    </row>
    <row r="13" spans="2:3" x14ac:dyDescent="0.2">
      <c r="B13" t="s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13DB0-0AFD-4174-BFD5-13DD48F79926}">
  <dimension ref="B1:B42"/>
  <sheetViews>
    <sheetView topLeftCell="A29" workbookViewId="0">
      <selection activeCell="B43" sqref="B43"/>
    </sheetView>
  </sheetViews>
  <sheetFormatPr baseColWidth="10" defaultRowHeight="15" x14ac:dyDescent="0.2"/>
  <sheetData>
    <row r="1" spans="2:2" x14ac:dyDescent="0.2">
      <c r="B1" t="s">
        <v>106</v>
      </c>
    </row>
    <row r="2" spans="2:2" x14ac:dyDescent="0.2">
      <c r="B2" t="s">
        <v>144</v>
      </c>
    </row>
    <row r="3" spans="2:2" x14ac:dyDescent="0.2">
      <c r="B3" t="s">
        <v>103</v>
      </c>
    </row>
    <row r="4" spans="2:2" x14ac:dyDescent="0.2">
      <c r="B4" t="s">
        <v>104</v>
      </c>
    </row>
    <row r="5" spans="2:2" x14ac:dyDescent="0.2">
      <c r="B5" t="s">
        <v>105</v>
      </c>
    </row>
    <row r="7" spans="2:2" x14ac:dyDescent="0.2">
      <c r="B7" t="s">
        <v>2</v>
      </c>
    </row>
    <row r="8" spans="2:2" x14ac:dyDescent="0.2">
      <c r="B8" t="s">
        <v>3</v>
      </c>
    </row>
    <row r="10" spans="2:2" x14ac:dyDescent="0.2">
      <c r="B10" t="s">
        <v>112</v>
      </c>
    </row>
    <row r="11" spans="2:2" x14ac:dyDescent="0.2">
      <c r="B11" t="s">
        <v>5</v>
      </c>
    </row>
    <row r="14" spans="2:2" x14ac:dyDescent="0.2">
      <c r="B14" t="s">
        <v>147</v>
      </c>
    </row>
    <row r="15" spans="2:2" x14ac:dyDescent="0.2">
      <c r="B15" s="20" t="s">
        <v>62</v>
      </c>
    </row>
    <row r="16" spans="2:2" x14ac:dyDescent="0.2">
      <c r="B16" s="20" t="s">
        <v>63</v>
      </c>
    </row>
    <row r="17" spans="2:2" x14ac:dyDescent="0.2">
      <c r="B17" s="25"/>
    </row>
    <row r="18" spans="2:2" x14ac:dyDescent="0.2">
      <c r="B18" s="25" t="s">
        <v>148</v>
      </c>
    </row>
    <row r="19" spans="2:2" x14ac:dyDescent="0.2">
      <c r="B19" s="22" t="s">
        <v>28</v>
      </c>
    </row>
    <row r="20" spans="2:2" x14ac:dyDescent="0.2">
      <c r="B20" s="17" t="s">
        <v>120</v>
      </c>
    </row>
    <row r="21" spans="2:2" x14ac:dyDescent="0.2">
      <c r="B21" s="17" t="s">
        <v>29</v>
      </c>
    </row>
    <row r="22" spans="2:2" x14ac:dyDescent="0.2">
      <c r="B22" s="17"/>
    </row>
    <row r="23" spans="2:2" x14ac:dyDescent="0.2">
      <c r="B23" s="17" t="s">
        <v>148</v>
      </c>
    </row>
    <row r="24" spans="2:2" x14ac:dyDescent="0.2">
      <c r="B24" s="22" t="s">
        <v>77</v>
      </c>
    </row>
    <row r="25" spans="2:2" x14ac:dyDescent="0.2">
      <c r="B25" s="17" t="s">
        <v>76</v>
      </c>
    </row>
    <row r="26" spans="2:2" x14ac:dyDescent="0.2">
      <c r="B26" s="17" t="s">
        <v>40</v>
      </c>
    </row>
    <row r="27" spans="2:2" x14ac:dyDescent="0.2">
      <c r="B27" s="17"/>
    </row>
    <row r="28" spans="2:2" x14ac:dyDescent="0.2">
      <c r="B28" s="17"/>
    </row>
    <row r="29" spans="2:2" x14ac:dyDescent="0.2">
      <c r="B29">
        <v>0</v>
      </c>
    </row>
    <row r="30" spans="2:2" x14ac:dyDescent="0.2">
      <c r="B30" t="s">
        <v>114</v>
      </c>
    </row>
    <row r="31" spans="2:2" x14ac:dyDescent="0.2">
      <c r="B31" t="s">
        <v>115</v>
      </c>
    </row>
    <row r="32" spans="2:2" x14ac:dyDescent="0.2">
      <c r="B32" t="s">
        <v>116</v>
      </c>
    </row>
    <row r="34" spans="2:2" x14ac:dyDescent="0.2">
      <c r="B34">
        <v>0</v>
      </c>
    </row>
    <row r="35" spans="2:2" x14ac:dyDescent="0.2">
      <c r="B35" t="s">
        <v>117</v>
      </c>
    </row>
    <row r="36" spans="2:2" x14ac:dyDescent="0.2">
      <c r="B36" t="s">
        <v>118</v>
      </c>
    </row>
    <row r="37" spans="2:2" x14ac:dyDescent="0.2">
      <c r="B37" t="s">
        <v>119</v>
      </c>
    </row>
    <row r="39" spans="2:2" ht="16" x14ac:dyDescent="0.2">
      <c r="B39" s="65" t="s">
        <v>165</v>
      </c>
    </row>
    <row r="40" spans="2:2" ht="16" x14ac:dyDescent="0.2">
      <c r="B40" s="65" t="s">
        <v>166</v>
      </c>
    </row>
    <row r="41" spans="2:2" ht="16" x14ac:dyDescent="0.2">
      <c r="B41" s="65" t="s">
        <v>167</v>
      </c>
    </row>
    <row r="42" spans="2:2" ht="16" x14ac:dyDescent="0.2">
      <c r="B42" s="65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Cuestionario</vt:lpstr>
      <vt:lpstr>Formulación y Resultados</vt:lpstr>
      <vt:lpstr>Resultados</vt:lpstr>
      <vt:lpstr>Ponderación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MESA BEDOYA</dc:creator>
  <cp:lastModifiedBy>AGUSTIN BARRENECHE ARANGO</cp:lastModifiedBy>
  <dcterms:created xsi:type="dcterms:W3CDTF">2023-09-18T18:04:25Z</dcterms:created>
  <dcterms:modified xsi:type="dcterms:W3CDTF">2026-04-17T16:19:35Z</dcterms:modified>
</cp:coreProperties>
</file>