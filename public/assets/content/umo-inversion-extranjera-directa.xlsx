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afd60c9a7a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4c98240a778148c1"/>
    <x:sheet xmlns:r="http://schemas.openxmlformats.org/officeDocument/2006/relationships" name="01_Flujos_FDI" sheetId="2" r:id="R9dc84abe19e3431d"/>
    <x:sheet xmlns:r="http://schemas.openxmlformats.org/officeDocument/2006/relationships" name="02_Sectores_FDI" sheetId="3" r:id="R72132ae5a6ef4f7c"/>
    <x:sheet xmlns:r="http://schemas.openxmlformats.org/officeDocument/2006/relationships" name="03_Incentivos" sheetId="4" r:id="Raf29de1b1c55469c"/>
    <x:sheet xmlns:r="http://schemas.openxmlformats.org/officeDocument/2006/relationships" name="04_Textos_Analisis" sheetId="5" r:id="Re4e723ad2d0448de"/>
    <x:sheet xmlns:r="http://schemas.openxmlformats.org/officeDocument/2006/relationships" name="05_Fuentes" sheetId="6" r:id="Re8d7fb54969841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"/>
    <x:numFmt numFmtId="202" formatCode="#,##0"/>
  </x:numFmts>
  <x:fonts count="6">
    <x:font>
      <x:sz val="11"/>
      <x:name val="Carlito"/>
    </x:font>
    <x:font>
      <x:b/>
      <x:sz val="18"/>
      <x:color rgb="FFFFFF"/>
      <x:name val="Carlito"/>
    </x:font>
    <x:font>
      <x:b/>
      <x:sz val="11"/>
      <x:color rgb="0F172A"/>
      <x:name val="Carlito"/>
    </x:font>
    <x:font>
      <x:b/>
      <x:sz val="11"/>
      <x:color rgb="FFFFFF"/>
      <x:name val="Carlito"/>
    </x:font>
    <x:font>
      <x:sz val="11"/>
      <x:color rgb="0F172A"/>
      <x:name val="Carlito"/>
    </x:font>
    <x:font>
      <x:b/>
      <x:sz val="16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DBEAFE"/>
      </x:patternFill>
    </x:fill>
    <x:fill>
      <x:patternFill patternType="solid">
        <x:fgColor rgb="F8FAFC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e7ad9f0a8b4934" /><Relationship Type="http://schemas.openxmlformats.org/officeDocument/2006/relationships/theme" Target="/xl/theme/theme1.xml" Id="R5baf2003915e4366" /><Relationship Type="http://schemas.openxmlformats.org/officeDocument/2006/relationships/sharedStrings" Target="/xl/sharedStrings.xml" Id="R3d22228ffb304b2e" /><Relationship Type="http://schemas.openxmlformats.org/officeDocument/2006/relationships/worksheet" Target="/xl/worksheets/sheet1.xml" Id="R4c98240a778148c1" /><Relationship Type="http://schemas.openxmlformats.org/officeDocument/2006/relationships/worksheet" Target="/xl/worksheets/sheet2.xml" Id="R9dc84abe19e3431d" /><Relationship Type="http://schemas.openxmlformats.org/officeDocument/2006/relationships/worksheet" Target="/xl/worksheets/sheet3.xml" Id="R72132ae5a6ef4f7c" /><Relationship Type="http://schemas.openxmlformats.org/officeDocument/2006/relationships/worksheet" Target="/xl/worksheets/sheet4.xml" Id="Raf29de1b1c55469c" /><Relationship Type="http://schemas.openxmlformats.org/officeDocument/2006/relationships/worksheet" Target="/xl/worksheets/sheet5.xml" Id="Re4e723ad2d0448de" /><Relationship Type="http://schemas.openxmlformats.org/officeDocument/2006/relationships/worksheet" Target="/xl/worksheets/sheet6.xml" Id="Re8d7fb54969841d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2e93cd41d884ad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8d5b2f7dda748bc" /><Relationship Type="http://schemas.openxmlformats.org/officeDocument/2006/relationships/chart" Target="/xl/drawings/charts/chart3.xml" Id="R38fffd586d4e41e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d8372f4a4d914693" /><Relationship Type="http://schemas.openxmlformats.org/officeDocument/2006/relationships/chart" Target="/xl/drawings/charts/chart5.xml" Id="R551c121aed45406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87236054763b40f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Promedio</c:v>
          </c:tx>
          <c:cat>
            <c:strRef>
              <c:f>'00_Dashboard'!$H$13:$H$14</c:f>
              <c:strCache>
                <c:ptCount val="0"/>
              </c:strCache>
            </c:strRef>
          </c:cat>
          <c:val>
            <c:numRef>
              <c:f>'00_Dashboard'!$I$13:$I$14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FDI Colombia ↔ EE.UU. 2020-2024 (US$ millones)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Colombian FDI in USA - Position (US$M)</c:v>
          </c:tx>
          <c:cat>
            <c:strRef>
              <c:f>'01_Flujos_FDI'!$A$4:$A$8</c:f>
              <c:strCache>
                <c:ptCount val="0"/>
              </c:strCache>
            </c:strRef>
          </c:cat>
          <c:val>
            <c:numRef>
              <c:f>'01_Flujos_FDI'!$B$4:$B$8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Colombian FDI in USA - Flow (US$M)</c:v>
          </c:tx>
          <c:cat>
            <c:strRef>
              <c:f>'01_Flujos_FDI'!$A$4:$A$8</c:f>
              <c:strCache>
                <c:ptCount val="0"/>
              </c:strCache>
            </c:strRef>
          </c:cat>
          <c:val>
            <c:numRef>
              <c:f>'01_Flujos_FDI'!$C$4:$C$8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U.S. FDI in Colombia - Position (US$M)</c:v>
          </c:tx>
          <c:cat>
            <c:strRef>
              <c:f>'01_Flujos_FDI'!$A$4:$A$8</c:f>
              <c:strCache>
                <c:ptCount val="0"/>
              </c:strCache>
            </c:strRef>
          </c:cat>
          <c:val>
            <c:numRef>
              <c:f>'01_Flujos_FDI'!$D$4:$D$8</c:f>
              <c:numCache>
                <c:formatCode>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U.S. FDI in Colombia - Flow (US$M)</c:v>
          </c:tx>
          <c:cat>
            <c:strRef>
              <c:f>'01_Flujos_FDI'!$A$4:$A$8</c:f>
              <c:strCache>
                <c:ptCount val="0"/>
              </c:strCache>
            </c:strRef>
          </c:cat>
          <c:val>
            <c:numRef>
              <c:f>'01_Flujos_FDI'!$E$4:$E$8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Calificación</c:v>
          </c:tx>
          <c:cat>
            <c:strRef>
              <c:f>'01_Flujos_FDI'!$A$11:$A$12</c:f>
              <c:strCache>
                <c:ptCount val="0"/>
              </c:strCache>
            </c:strRef>
          </c:cat>
          <c:val>
            <c:numRef>
              <c:f>'01_Flujos_FDI'!$B$11:$B$12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Florida</c:v>
          </c:tx>
          <c:cat>
            <c:strRef>
              <c:f>'02_Sectores_FDI'!$F$4:$F$11</c:f>
              <c:strCache>
                <c:ptCount val="0"/>
              </c:strCache>
            </c:strRef>
          </c:cat>
          <c:val>
            <c:numRef>
              <c:f>'02_Sectores_FDI'!$G$4:$G$11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Texas</c:v>
          </c:tx>
          <c:cat>
            <c:strRef>
              <c:f>'02_Sectores_FDI'!$F$4:$F$11</c:f>
              <c:strCache>
                <c:ptCount val="0"/>
              </c:strCache>
            </c:strRef>
          </c:cat>
          <c:val>
            <c:numRef>
              <c:f>'02_Sectores_FDI'!$H$4:$H$11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Total proyectos</c:v>
          </c:tx>
          <c:cat>
            <c:strRef>
              <c:f>'02_Sectores_FDI'!$A$13:$A$14</c:f>
              <c:strCache>
                <c:ptCount val="0"/>
              </c:strCache>
            </c:strRef>
          </c:cat>
          <c:val>
            <c:numRef>
              <c:f>'02_Sectores_FDI'!$B$13:$B$14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# programas</c:v>
          </c:tx>
          <c:cat>
            <c:strRef>
              <c:f>'03_Incentivos'!$H$4:$H$5</c:f>
              <c:strCache>
                <c:ptCount val="0"/>
              </c:strCache>
            </c:strRef>
          </c:cat>
          <c:val>
            <c:numRef>
              <c:f>'03_Incentivos'!$I$4:$I$5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Calificación</c:v>
          </c:tx>
          <c:cat>
            <c:strRef>
              <c:f>'03_Incentivos'!$H$4:$H$5</c:f>
              <c:strCache>
                <c:ptCount val="0"/>
              </c:strCache>
            </c:strRef>
          </c:cat>
          <c:val>
            <c:numRef>
              <c:f>'03_Incentivos'!$J$4:$J$5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e93cd41d884a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d5b2f7dda748bc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fffd586d4e41e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372f4a4d914693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17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1c121aed45406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15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236054763b40f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shboardSummary" displayName="DashboardSummary" ref="A4:F10" headerRowCount="1">
  <x:tableColumns count="6">
    <x:tableColumn id="1" name="Indicador"/>
    <x:tableColumn id="2" name="Estado"/>
    <x:tableColumn id="3" name="Calificación"/>
    <x:tableColumn id="4" name="Lectura estratégica"/>
    <x:tableColumn id="5" name="Resultado"/>
    <x:tableColumn id="6" name="Fuente principal"/>
  </x:tableColumns>
  <x:tableStyleInfo name="TableStyleMedium2" showRowStripes="1"/>
</x:table>
</file>

<file path=xl/tables/table2.xml><?xml version="1.0" encoding="utf-8"?>
<x:table xmlns:x="http://schemas.openxmlformats.org/spreadsheetml/2006/main" id="2" name="FDIFlows" displayName="FDIFlows" ref="A3:F8" headerRowCount="1">
  <x:tableColumns count="6">
    <x:tableColumn id="1" name="Año"/>
    <x:tableColumn id="2" name="Colombian FDI in USA - Position (US$M)"/>
    <x:tableColumn id="3" name="Colombian FDI in USA - Flow (US$M)"/>
    <x:tableColumn id="4" name="U.S. FDI in Colombia - Position (US$M)"/>
    <x:tableColumn id="5" name="U.S. FDI in Colombia - Flow (US$M)"/>
    <x:tableColumn id="6" name="Fuente"/>
  </x:tableColumns>
  <x:tableStyleInfo name="TableStyleMedium2" showRowStripes="1"/>
</x:table>
</file>

<file path=xl/tables/table3.xml><?xml version="1.0" encoding="utf-8"?>
<x:table xmlns:x="http://schemas.openxmlformats.org/spreadsheetml/2006/main" id="3" name="FDISectors" displayName="FDISectors" ref="F3:H11" headerRowCount="1">
  <x:tableColumns count="3">
    <x:tableColumn id="1" name="Sector"/>
    <x:tableColumn id="2" name="Florida proyectos"/>
    <x:tableColumn id="3" name="Texas proyectos"/>
  </x:tableColumns>
  <x:tableStyleInfo name="TableStyleMedium2" showRowStripes="1"/>
</x:table>
</file>

<file path=xl/tables/table4.xml><?xml version="1.0" encoding="utf-8"?>
<x:table xmlns:x="http://schemas.openxmlformats.org/spreadsheetml/2006/main" id="4" name="IncentivesList" displayName="IncentivesList" ref="A3:F17" headerRowCount="1">
  <x:tableColumns count="6">
    <x:tableColumn id="1" name="Estado"/>
    <x:tableColumn id="2" name="Programa"/>
    <x:tableColumn id="3" name="Tipo"/>
    <x:tableColumn id="4" name="Relevancia UMO"/>
    <x:tableColumn id="5" name="Uso estratégico"/>
    <x:tableColumn id="6" name="Fuente"/>
  </x:tableColumns>
  <x:tableStyleInfo name="TableStyleMedium2" showRowStripes="1"/>
</x:table>
</file>

<file path=xl/tables/table5.xml><?xml version="1.0" encoding="utf-8"?>
<x:table xmlns:x="http://schemas.openxmlformats.org/spreadsheetml/2006/main" id="5" name="AnalysisTexts" displayName="AnalysisTexts" ref="A3:E6" headerRowCount="1">
  <x:tableColumns count="5">
    <x:tableColumn id="1" name="Indicador"/>
    <x:tableColumn id="2" name="Texto analítico"/>
    <x:tableColumn id="3" name="Florida"/>
    <x:tableColumn id="4" name="Texas"/>
    <x:tableColumn id="5" name="Ganador"/>
  </x:tableColumns>
  <x:tableStyleInfo name="TableStyleMedium2" showRowStripes="1"/>
</x:table>
</file>

<file path=xl/tables/table6.xml><?xml version="1.0" encoding="utf-8"?>
<x:table xmlns:x="http://schemas.openxmlformats.org/spreadsheetml/2006/main" id="6" name="SourceList" displayName="SourceList" ref="A3:C13" headerRowCount="1">
  <x:tableColumns count="3">
    <x:tableColumn id="1" name="Fuente"/>
    <x:tableColumn id="2" name="Uso en el Excel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e3d5fee38d645b6" /><Relationship Type="http://schemas.openxmlformats.org/officeDocument/2006/relationships/table" Target="/xl/tables/table1.xml" Id="R6e1300f2936a4f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3c8705a40b348eb" /><Relationship Type="http://schemas.openxmlformats.org/officeDocument/2006/relationships/table" Target="/xl/tables/table2.xml" Id="Rb60bf6231d0542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43db231f49fe410a" /><Relationship Type="http://schemas.openxmlformats.org/officeDocument/2006/relationships/table" Target="/xl/tables/table3.xml" Id="Rb0dfd3bbf4b04b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f18e828c8b1b401b" /><Relationship Type="http://schemas.openxmlformats.org/officeDocument/2006/relationships/table" Target="/xl/tables/table4.xml" Id="R822939783d504a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2808888ed2d40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688726bdca4468a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52" hidden="0" customWidth="1"/>
    <x:col min="5" max="5" width="18" hidden="0" customWidth="1"/>
    <x:col min="6" max="6" width="22" hidden="0" customWidth="1"/>
    <x:col min="7" max="7" width="4" hidden="0" customWidth="1"/>
    <x:col min="8" max="8" width="18" hidden="0" customWidth="1"/>
    <x:col min="9" max="9" width="14" hidden="0" customWidth="1"/>
    <x:col min="10" max="10" width="32" hidden="0" customWidth="1"/>
    <x:col min="11" max="11" width="18" hidden="0" customWidth="1"/>
    <x:col min="12" max="12" width="18" hidden="0" customWidth="1"/>
  </x:cols>
  <x:sheetData>
    <x:row r="1" ht="21.600000381469727" hidden="0" customHeight="1">
      <x:c r="A1" s="5" t="str">
        <x:v>UMO · Entorno de Inversión Extranjera Directa</x:v>
      </x:c>
    </x:row>
    <x:row r="2" ht="24" customHeight="1">
      <x:c r="A2" s="13" t="str">
        <x:v>Florida vs Texas · Indicadores de FDI para evaluar una expansión comercial futura de UMO en EE.UU.</x:v>
      </x:c>
    </x:row>
    <x:row r="4">
      <x:c r="A4" s="21" t="str">
        <x:v>Indicador</x:v>
      </x:c>
      <x:c r="B4" s="21" t="str">
        <x:v>Estado</x:v>
      </x:c>
      <x:c r="C4" s="21" t="str">
        <x:v>Calificación</x:v>
      </x:c>
      <x:c r="D4" s="21" t="str">
        <x:v>Lectura estratégica</x:v>
      </x:c>
      <x:c r="E4" s="21" t="str">
        <x:v>Resultado</x:v>
      </x:c>
      <x:c r="F4" s="21" t="str">
        <x:v>Fuente principal</x:v>
      </x:c>
      <x:c r="H4" s="21" t="str">
        <x:v>Conclusión ejecutiva</x:v>
      </x:c>
    </x:row>
    <x:row r="5">
      <x:c r="A5" s="28" t="str">
        <x:v>Flujos de inversión Colombia ↔ EE.UU. y relevancia estatal</x:v>
      </x:c>
      <x:c r="B5" s="28" t="str">
        <x:v>Florida</x:v>
      </x:c>
      <x:c r="C5" s="30" t="n">
        <x:v>5</x:v>
      </x:c>
      <x:c r="D5" s="28" t="str">
        <x:v>Florida concentra históricamente mayor valor de inversión colombiana en EE.UU. (45% según ANDI/FDI Markets). Texas también aparece como destino atractivo por ubicación e incentivos.</x:v>
      </x:c>
      <x:c r="E5" s="28" t="str">
        <x:v>Muy favorable</x:v>
      </x:c>
      <x:c r="F5" s="28" t="str">
        <x:v>Ver hoja 05_Fuentes</x:v>
      </x:c>
      <x:c r="H5" s="35" t="str">
        <x:v>Texas es el estado más fuerte para una expansión futura por sectores industriales/logísticos e incentivos. Florida es muy fuerte como puerta comercial colombiana/latina, con evidencia histórica de concentración de inversión colombiana. Para UMO: Florida funciona como entrada comercial natural; Texas como mercado de escala industrial y B2B.</x:v>
      </x:c>
    </x:row>
    <x:row r="6">
      <x:c r="A6" s="28" t="str">
        <x:v>Flujos de inversión Colombia ↔ EE.UU. y relevancia estatal</x:v>
      </x:c>
      <x:c r="B6" s="28" t="str">
        <x:v>Texas</x:v>
      </x:c>
      <x:c r="C6" s="30" t="n">
        <x:v>4.3</x:v>
      </x:c>
      <x:c r="D6" s="28" t="str">
        <x:v>Texas es atractivo por ubicación estratégica, fiscalidad e industria, pero la evidencia disponible ubica a Florida como concentración principal de inversión colombiana.</x:v>
      </x:c>
      <x:c r="E6" s="28" t="str">
        <x:v>Favorable</x:v>
      </x:c>
      <x:c r="F6" s="28" t="str">
        <x:v>Ver hoja 05_Fuentes</x:v>
      </x:c>
    </x:row>
    <x:row r="7">
      <x:c r="A7" s="28" t="str">
        <x:v>Principales sectores receptores de inversión</x:v>
      </x:c>
      <x:c r="B7" s="28" t="str">
        <x:v>Florida</x:v>
      </x:c>
      <x:c r="C7" s="30" t="n">
        <x:v>4.4</x:v>
      </x:c>
      <x:c r="D7" s="28" t="str">
        <x:v>Fuerte en servicios, software, real estate, finanzas y transporte; útil para oficina comercial/distribución, menos directo para maquinaria.</x:v>
      </x:c>
      <x:c r="E7" s="28" t="str">
        <x:v>Favorable</x:v>
      </x:c>
      <x:c r="F7" s="28" t="str">
        <x:v>Ver hoja 05_Fuentes</x:v>
      </x:c>
    </x:row>
    <x:row r="8">
      <x:c r="A8" s="28" t="str">
        <x:v>Principales sectores receptores de inversión</x:v>
      </x:c>
      <x:c r="B8" s="28" t="str">
        <x:v>Texas</x:v>
      </x:c>
      <x:c r="C8" s="30" t="n">
        <x:v>5</x:v>
      </x:c>
      <x:c r="D8" s="28" t="str">
        <x:v>Texas presenta más proyectos y sectores más alineados con UMO: industrial equipment, energy, logistics, software y business services.</x:v>
      </x:c>
      <x:c r="E8" s="28" t="str">
        <x:v>Muy favorable</x:v>
      </x:c>
      <x:c r="F8" s="28" t="str">
        <x:v>Ver hoja 05_Fuentes</x:v>
      </x:c>
    </x:row>
    <x:row r="9">
      <x:c r="A9" s="28" t="str">
        <x:v>Incentivos a la inversión</x:v>
      </x:c>
      <x:c r="B9" s="28" t="str">
        <x:v>Florida</x:v>
      </x:c>
      <x:c r="C9" s="30" t="n">
        <x:v>4.6</x:v>
      </x:c>
      <x:c r="D9" s="28" t="str">
        <x:v>Tiene incentivos tributarios, de inversión y entrenamiento; varios exigen escala alta o sectores específicos.</x:v>
      </x:c>
      <x:c r="E9" s="28" t="str">
        <x:v>Muy favorable</x:v>
      </x:c>
      <x:c r="F9" s="28" t="str">
        <x:v>Ver hoja 05_Fuentes</x:v>
      </x:c>
    </x:row>
    <x:row r="10">
      <x:c r="A10" s="28" t="str">
        <x:v>Incentivos a la inversión</x:v>
      </x:c>
      <x:c r="B10" s="28" t="str">
        <x:v>Texas</x:v>
      </x:c>
      <x:c r="C10" s="30" t="n">
        <x:v>5</x:v>
      </x:c>
      <x:c r="D10" s="28" t="str">
        <x:v>Ofrece portafolio amplio y claro: TEF, Enterprise Zone, TSBCI, Skills Development, JETI, Opportunity Zones y otros.</x:v>
      </x:c>
      <x:c r="E10" s="28" t="str">
        <x:v>Muy favorable</x:v>
      </x:c>
      <x:c r="F10" s="28" t="str">
        <x:v>Ver hoja 05_Fuentes</x:v>
      </x:c>
    </x:row>
    <x:row r="11">
      <x:c r="H11" s="21" t="str">
        <x:v>Promedio por estado</x:v>
      </x:c>
    </x:row>
    <x:row r="12">
      <x:c r="H12" s="42" t="str">
        <x:v>Estado</x:v>
      </x:c>
      <x:c r="I12" s="42" t="str">
        <x:v>Promedio</x:v>
      </x:c>
      <x:c r="J12" s="42" t="str">
        <x:v>Rol recomendado</x:v>
      </x:c>
    </x:row>
    <x:row r="13">
      <x:c r="H13" s="26" t="str">
        <x:v>Florida</x:v>
      </x:c>
      <x:c r="I13" s="48" t="n">
        <x:f>AVERAGEIF(B5:B10,"Florida",C5:C10)</x:f>
        <x:v>4.666666666666667</x:v>
      </x:c>
      <x:c r="J13" s="26" t="str">
        <x:v>Entrada comercial / puente latino</x:v>
      </x:c>
    </x:row>
    <x:row r="14">
      <x:c r="H14" s="26" t="str">
        <x:v>Texas</x:v>
      </x:c>
      <x:c r="I14" s="48" t="n">
        <x:f>AVERAGEIF(B5:B10,"Texas",C5:C10)</x:f>
        <x:v>4.766666666666667</x:v>
      </x:c>
      <x:c r="J14" s="26" t="str">
        <x:v>Escala industrial / B2B</x:v>
      </x:c>
    </x:row>
  </x:sheetData>
  <x:mergeCells>
    <x:mergeCell ref="A1:L1"/>
    <x:mergeCell ref="A2:L2"/>
    <x:mergeCell ref="H4:L4"/>
    <x:mergeCell ref="H5:L9"/>
    <x:mergeCell ref="H11:L11"/>
  </x:mergeCells>
  <x:conditionalFormatting sqref="C5:C10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drawing xmlns:r="http://schemas.openxmlformats.org/officeDocument/2006/relationships" r:id="R2e3d5fee38d645b6"/>
  <x:tableParts count="1">
    <x:tablePart xmlns:r="http://schemas.openxmlformats.org/officeDocument/2006/relationships" r:id="R6e1300f2936a4f3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4" hidden="0" customWidth="1"/>
    <x:col min="7" max="7" width="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19.200000762939453" hidden="0" customHeight="1">
      <x:c r="A1" s="51" t="str">
        <x:v>Indicador 1 · Flujos de inversión entre Colombia y EE.UU. + lectura Florida/Texas</x:v>
      </x:c>
    </x:row>
    <x:row r="3">
      <x:c r="A3" s="21" t="str">
        <x:v>Año</x:v>
      </x:c>
      <x:c r="B3" s="21" t="str">
        <x:v>Colombian FDI in USA - Position (US$M)</x:v>
      </x:c>
      <x:c r="C3" s="21" t="str">
        <x:v>Colombian FDI in USA - Flow (US$M)</x:v>
      </x:c>
      <x:c r="D3" s="21" t="str">
        <x:v>U.S. FDI in Colombia - Position (US$M)</x:v>
      </x:c>
      <x:c r="E3" s="21" t="str">
        <x:v>U.S. FDI in Colombia - Flow (US$M)</x:v>
      </x:c>
      <x:c r="F3" s="21" t="str">
        <x:v>Fuente</x:v>
      </x:c>
    </x:row>
    <x:row r="4">
      <x:c r="A4" t="n">
        <x:v>2020</x:v>
      </x:c>
      <x:c r="B4" s="54" t="n">
        <x:v>4044</x:v>
      </x:c>
      <x:c r="C4" s="54" t="n">
        <x:v>-159</x:v>
      </x:c>
      <x:c r="D4" s="54" t="n">
        <x:v>6452</x:v>
      </x:c>
      <x:c r="E4" s="54" t="n">
        <x:v>2221</x:v>
      </x:c>
      <x:c r="F4" t="str">
        <x:v>SelectUSA/BEA 2025</x:v>
      </x:c>
    </x:row>
    <x:row r="5">
      <x:c r="A5" t="n">
        <x:v>2021</x:v>
      </x:c>
      <x:c r="B5" s="54" t="n">
        <x:v>4131</x:v>
      </x:c>
      <x:c r="C5" s="54" t="n">
        <x:v>3</x:v>
      </x:c>
      <x:c r="D5" s="54" t="n">
        <x:v>6632</x:v>
      </x:c>
      <x:c r="E5" s="54" t="n">
        <x:v>-104</x:v>
      </x:c>
      <x:c r="F5" t="str">
        <x:v>SelectUSA/BEA 2025</x:v>
      </x:c>
    </x:row>
    <x:row r="6">
      <x:c r="A6" t="n">
        <x:v>2022</x:v>
      </x:c>
      <x:c r="B6" s="54" t="n">
        <x:v>4501</x:v>
      </x:c>
      <x:c r="C6" s="54" t="n">
        <x:v>99</x:v>
      </x:c>
      <x:c r="D6" s="54" t="n">
        <x:v>6650</x:v>
      </x:c>
      <x:c r="E6" s="54" t="n">
        <x:v>619</x:v>
      </x:c>
      <x:c r="F6" t="str">
        <x:v>SelectUSA/BEA 2025</x:v>
      </x:c>
    </x:row>
    <x:row r="7">
      <x:c r="A7" t="n">
        <x:v>2023</x:v>
      </x:c>
      <x:c r="B7" s="54" t="n">
        <x:v>4961</x:v>
      </x:c>
      <x:c r="C7" s="54" t="n">
        <x:v>173</x:v>
      </x:c>
      <x:c r="D7" s="54" t="n">
        <x:v>7849</x:v>
      </x:c>
      <x:c r="E7" s="54" t="n">
        <x:v>470</x:v>
      </x:c>
      <x:c r="F7" t="str">
        <x:v>SelectUSA/BEA 2025</x:v>
      </x:c>
    </x:row>
    <x:row r="8">
      <x:c r="A8" t="n">
        <x:v>2024</x:v>
      </x:c>
      <x:c r="B8" s="54" t="n">
        <x:v>5174</x:v>
      </x:c>
      <x:c r="C8" s="54" t="n">
        <x:v>250</x:v>
      </x:c>
      <x:c r="D8" s="54" t="n">
        <x:v>7211</x:v>
      </x:c>
      <x:c r="E8" s="54" t="n">
        <x:v>-36</x:v>
      </x:c>
      <x:c r="F8" t="str">
        <x:v>SelectUSA/BEA 2025</x:v>
      </x:c>
    </x:row>
    <x:row r="10">
      <x:c r="A10" s="21" t="str">
        <x:v>Estado</x:v>
      </x:c>
      <x:c r="B10" s="21" t="str">
        <x:v>Calificación</x:v>
      </x:c>
      <x:c r="C10" s="21" t="str">
        <x:v>Justificación</x:v>
      </x:c>
      <x:c r="D10" s="21" t="str">
        <x:v>Fuente/criterio</x:v>
      </x:c>
    </x:row>
    <x:row r="11">
      <x:c r="A11" t="str">
        <x:v>Florida</x:v>
      </x:c>
      <x:c r="B11" s="56" t="n">
        <x:v>5</x:v>
      </x:c>
      <x:c r="C11" t="str">
        <x:v>ANDI reporta que 45% del valor de inversión colombiana en EE.UU. se concentró históricamente en Florida; es entrada natural por afinidad cultural/latina.</x:v>
      </x:c>
      <x:c r="D11" t="str">
        <x:v>ANDI + FDI Markets</x:v>
      </x:c>
    </x:row>
    <x:row r="12">
      <x:c r="A12" t="str">
        <x:v>Texas</x:v>
      </x:c>
      <x:c r="B12" s="56" t="n">
        <x:v>4.3</x:v>
      </x:c>
      <x:c r="C12" t="str">
        <x:v>ANDI menciona Texas como estado donde prosperan empresas colombianas por ubicación estratégica e incentivos fiscales; fuerte para escala industrial.</x:v>
      </x:c>
      <x:c r="D12" t="str">
        <x:v>ANDI + SelectUSA Texas</x:v>
      </x:c>
    </x:row>
    <x:row r="14">
      <x:c r="A14" s="60" t="str">
        <x:v>Nota metodológica: no se encontró una serie oficial pública anual Colombia→Florida/Texas. Por eso se usa el flujo/stock Colombia→EE.UU. oficial de SelectUSA/BEA y una lectura estatal con base en ANDI/FDI Markets. No se inventaron cifras estatales.</x:v>
      </x:c>
    </x:row>
    <x:row r="16">
      <x:c r="A16" s="35" t="str">
        <x:v>Este indicador mide la relación de inversión entre Colombia y Estados Unidos. Los datos oficiales de SelectUSA muestran que el stock de inversión colombiana en EE.UU. pasó de US$4.044 millones en 2020 a US$5.174 millones en 2024, señal de una relación de inversión creciente. Aunque no existe una serie pública oficial anual Colombia→Florida/Texas, ANDI indica que Florida concentró históricamente el 45% del valor invertido por empresas colombianas en EE.UU.; Texas también aparece como destino por ubicación estratégica e incentivos fiscales. Para UMO, esto significa que Florida ofrece una entrada natural por afinidad colombiana/latina, mientras Texas tiene mejor potencial industrial y logístico. Calificación: Florida 5/5, Texas 4,3/5.</x:v>
      </x:c>
    </x:row>
  </x:sheetData>
  <x:mergeCells>
    <x:mergeCell ref="A1:K1"/>
    <x:mergeCell ref="A14:F14"/>
    <x:mergeCell ref="A16:F16"/>
  </x:mergeCells>
  <x:pageMargins left="0.7" right="0.7" top="0.75" bottom="0.75" header="0.3" footer="0.3"/>
  <x:drawing xmlns:r="http://schemas.openxmlformats.org/officeDocument/2006/relationships" r:id="R03c8705a40b348eb"/>
  <x:tableParts count="1">
    <x:tablePart xmlns:r="http://schemas.openxmlformats.org/officeDocument/2006/relationships" r:id="Rb60bf6231d0542c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6" hidden="0" customWidth="1"/>
    <x:col min="4" max="4" width="48" hidden="0" customWidth="1"/>
    <x:col min="5" max="5" width="4" hidden="0" customWidth="1"/>
    <x:col min="6" max="6" width="28" hidden="0" customWidth="1"/>
    <x:col min="7" max="7" width="16" hidden="0" customWidth="1"/>
    <x:col min="8" max="8" width="16" hidden="0" customWidth="1"/>
    <x:col min="9" max="9" width="4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9.200000762939453" hidden="0" customHeight="1">
      <x:c r="A1" s="51" t="str">
        <x:v>Indicador 2 · Principales sectores receptores de inversión</x:v>
      </x:c>
    </x:row>
    <x:row r="3">
      <x:c r="A3" s="21" t="str">
        <x:v>Sector Colombia→USA</x:v>
      </x:c>
      <x:c r="B3" s="21" t="str">
        <x:v>Ranking</x:v>
      </x:c>
      <x:c r="C3" s="21" t="str">
        <x:v>Relevancia UMO</x:v>
      </x:c>
      <x:c r="D3" s="21" t="str">
        <x:v>Lectura</x:v>
      </x:c>
      <x:c r="F3" s="21" t="str">
        <x:v>Sector</x:v>
      </x:c>
      <x:c r="G3" s="21" t="str">
        <x:v>Florida proyectos</x:v>
      </x:c>
      <x:c r="H3" s="21" t="str">
        <x:v>Texas proyectos</x:v>
      </x:c>
    </x:row>
    <x:row r="4">
      <x:c r="A4" t="str">
        <x:v>Business Services</x:v>
      </x:c>
      <x:c r="B4" t="n">
        <x:v>1</x:v>
      </x:c>
      <x:c r="C4" t="str">
        <x:v>Alta</x:v>
      </x:c>
      <x:c r="D4" t="str">
        <x:v>Servicios para entrada comercial, back office y operación B2B.</x:v>
      </x:c>
      <x:c r="F4" t="str">
        <x:v>Business Services</x:v>
      </x:c>
      <x:c r="G4" s="54" t="n">
        <x:v>204</x:v>
      </x:c>
      <x:c r="H4" s="54" t="n">
        <x:v>244</x:v>
      </x:c>
    </x:row>
    <x:row r="5">
      <x:c r="A5" t="str">
        <x:v>Building Materials</x:v>
      </x:c>
      <x:c r="B5" t="n">
        <x:v>2</x:v>
      </x:c>
      <x:c r="C5" t="str">
        <x:v>Alta</x:v>
      </x:c>
      <x:c r="D5" t="str">
        <x:v>Conecta con materiales, manufactura y productos físicos.</x:v>
      </x:c>
      <x:c r="F5" t="str">
        <x:v>Software &amp; IT Services</x:v>
      </x:c>
      <x:c r="G5" s="54" t="n">
        <x:v>193</x:v>
      </x:c>
      <x:c r="H5" s="54" t="n">
        <x:v>291</x:v>
      </x:c>
    </x:row>
    <x:row r="6">
      <x:c r="A6" t="str">
        <x:v>Plastics</x:v>
      </x:c>
      <x:c r="B6" t="n">
        <x:v>3</x:v>
      </x:c>
      <x:c r="C6" t="str">
        <x:v>Media-Alta</x:v>
      </x:c>
      <x:c r="D6" t="str">
        <x:v>Relacionado con insumos y componentes de productos durables.</x:v>
      </x:c>
      <x:c r="F6" t="str">
        <x:v>Transportation &amp; Warehousing</x:v>
      </x:c>
      <x:c r="G6" s="54" t="n">
        <x:v>65</x:v>
      </x:c>
      <x:c r="H6" s="54" t="n">
        <x:v>128</x:v>
      </x:c>
    </x:row>
    <x:row r="7">
      <x:c r="A7" t="str">
        <x:v>Software &amp; IT Services</x:v>
      </x:c>
      <x:c r="B7" t="n">
        <x:v>4</x:v>
      </x:c>
      <x:c r="C7" t="str">
        <x:v>Media</x:v>
      </x:c>
      <x:c r="D7" t="str">
        <x:v>Útil para canales digitales, ecommerce y soporte comercial.</x:v>
      </x:c>
      <x:c r="F7" t="str">
        <x:v>Industrial Equipment</x:v>
      </x:c>
      <x:c r="G7" s="54" t="n">
        <x:v>0</x:v>
      </x:c>
      <x:c r="H7" s="54" t="n">
        <x:v>215</x:v>
      </x:c>
    </x:row>
    <x:row r="8">
      <x:c r="A8" t="str">
        <x:v>Food &amp; Beverages</x:v>
      </x:c>
      <x:c r="B8" t="n">
        <x:v>5</x:v>
      </x:c>
      <x:c r="C8" t="str">
        <x:v>Baja-Media</x:v>
      </x:c>
      <x:c r="D8" t="str">
        <x:v>Menor relación directa con sillines, pero muestra diversificación.</x:v>
      </x:c>
      <x:c r="F8" t="str">
        <x:v>Energy</x:v>
      </x:c>
      <x:c r="G8" s="54" t="n">
        <x:v>0</x:v>
      </x:c>
      <x:c r="H8" s="54" t="n">
        <x:v>212</x:v>
      </x:c>
    </x:row>
    <x:row r="9">
      <x:c r="A9" t="str">
        <x:v>Energy</x:v>
      </x:c>
      <x:c r="B9" t="n">
        <x:v>6</x:v>
      </x:c>
      <x:c r="C9" t="str">
        <x:v>Media</x:v>
      </x:c>
      <x:c r="D9" t="str">
        <x:v>Relevante para Texas por ecosistema industrial y energético.</x:v>
      </x:c>
      <x:c r="F9" t="str">
        <x:v>Real Estate</x:v>
      </x:c>
      <x:c r="G9" s="54" t="n">
        <x:v>126</x:v>
      </x:c>
      <x:c r="H9" s="54" t="n">
        <x:v>0</x:v>
      </x:c>
    </x:row>
    <x:row r="10">
      <x:c r="F10" t="str">
        <x:v>Financial Services</x:v>
      </x:c>
      <x:c r="G10" s="54" t="n">
        <x:v>110</x:v>
      </x:c>
      <x:c r="H10" s="54" t="n">
        <x:v>0</x:v>
      </x:c>
    </x:row>
    <x:row r="11">
      <x:c r="F11" t="str">
        <x:v>Other Industries</x:v>
      </x:c>
      <x:c r="G11" s="54" t="n">
        <x:v>484</x:v>
      </x:c>
      <x:c r="H11" s="54" t="n">
        <x:v>871</x:v>
      </x:c>
    </x:row>
    <x:row r="12">
      <x:c r="A12" s="21" t="str">
        <x:v>Estado</x:v>
      </x:c>
      <x:c r="B12" s="21" t="str">
        <x:v>Total proyectos greenfield anunciados</x:v>
      </x:c>
      <x:c r="C12" s="21" t="str">
        <x:v>Calificación</x:v>
      </x:c>
      <x:c r="D12" s="21" t="str">
        <x:v>Justificación</x:v>
      </x:c>
    </x:row>
    <x:row r="13">
      <x:c r="A13" t="str">
        <x:v>Florida</x:v>
      </x:c>
      <x:c r="B13" s="54" t="n">
        <x:v>1182</x:v>
      </x:c>
      <x:c r="C13" s="56" t="n">
        <x:v>4.4</x:v>
      </x:c>
      <x:c r="D13" t="str">
        <x:v>Fuerte para servicios, software, finanzas, real estate y transporte; útil para entrada comercial y distribución.</x:v>
      </x:c>
    </x:row>
    <x:row r="14">
      <x:c r="A14" t="str">
        <x:v>Texas</x:v>
      </x:c>
      <x:c r="B14" s="54" t="n">
        <x:v>1966</x:v>
      </x:c>
      <x:c r="C14" s="56" t="n">
        <x:v>5</x:v>
      </x:c>
      <x:c r="D14" t="str">
        <x:v>Mayor volumen y sectores más alineados con UMO: equipo industrial, energía, logística y servicios B2B.</x:v>
      </x:c>
    </x:row>
    <x:row r="16">
      <x:c r="A16" s="35" t="str">
        <x:v>Este indicador identifica en qué sectores se concentra la inversión extranjera y si esos sectores son compatibles con la internacionalización de UMO. En Florida predominan servicios empresariales, software, real estate, finanzas y transporte; esto favorece una entrada comercial, distribución y networking. Texas muestra mayor volumen total de proyectos y sectores más cercanos a la operación de UMO: software, servicios empresariales, equipo industrial, energía y transporte/almacenamiento. Para una empresa que vende sillines/cojines para tractores, podadoras y maquinaria, Texas ofrece mejor ecosistema industrial y B2B; Florida sigue siendo fuerte como plataforma comercial y puente con Latinoamérica. Calificación: Texas 5/5, Florida 4,4/5.</x:v>
      </x:c>
    </x:row>
  </x:sheetData>
  <x:mergeCells>
    <x:mergeCell ref="A1:K1"/>
    <x:mergeCell ref="A16:H16"/>
  </x:mergeCells>
  <x:pageMargins left="0.7" right="0.7" top="0.75" bottom="0.75" header="0.3" footer="0.3"/>
  <x:drawing xmlns:r="http://schemas.openxmlformats.org/officeDocument/2006/relationships" r:id="R43db231f49fe410a"/>
  <x:tableParts count="1">
    <x:tablePart xmlns:r="http://schemas.openxmlformats.org/officeDocument/2006/relationships" r:id="Rb0dfd3bbf4b04b8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4" hidden="0" customWidth="1"/>
    <x:col min="4" max="4" width="16" hidden="0" customWidth="1"/>
    <x:col min="5" max="5" width="50" hidden="0" customWidth="1"/>
    <x:col min="6" max="6" width="34" hidden="0" customWidth="1"/>
    <x:col min="7" max="7" width="4" hidden="0" customWidth="1"/>
    <x:col min="8" max="8" width="14" hidden="0" customWidth="1"/>
    <x:col min="9" max="9" width="20" hidden="0" customWidth="1"/>
    <x:col min="10" max="10" width="14" hidden="0" customWidth="1"/>
    <x:col min="11" max="11" width="42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19.200000762939453" hidden="0" customHeight="1">
      <x:c r="A1" s="51" t="str">
        <x:v>Indicador 3 · Incentivos a la inversión en Florida y Texas</x:v>
      </x:c>
    </x:row>
    <x:row r="3">
      <x:c r="A3" s="21" t="str">
        <x:v>Estado</x:v>
      </x:c>
      <x:c r="B3" s="21" t="str">
        <x:v>Programa</x:v>
      </x:c>
      <x:c r="C3" s="21" t="str">
        <x:v>Tipo</x:v>
      </x:c>
      <x:c r="D3" s="21" t="str">
        <x:v>Relevancia UMO</x:v>
      </x:c>
      <x:c r="E3" s="21" t="str">
        <x:v>Uso estratégico</x:v>
      </x:c>
      <x:c r="F3" s="21" t="str">
        <x:v>Fuente</x:v>
      </x:c>
      <x:c r="H3" s="21" t="str">
        <x:v>Estado</x:v>
      </x:c>
      <x:c r="I3" s="21" t="str">
        <x:v># programas verificados y relevantes</x:v>
      </x:c>
      <x:c r="J3" s="21" t="str">
        <x:v>Calificación</x:v>
      </x:c>
      <x:c r="K3" s="21" t="str">
        <x:v>Lectura</x:v>
      </x:c>
    </x:row>
    <x:row r="4">
      <x:c r="A4" s="28" t="str">
        <x:v>Texas</x:v>
      </x:c>
      <x:c r="B4" s="28" t="str">
        <x:v>Texas Enterprise Fund</x:v>
      </x:c>
      <x:c r="C4" s="28" t="str">
        <x:v>Performance-based grant / deal-closing fund</x:v>
      </x:c>
      <x:c r="D4" s="28" t="str">
        <x:v>High</x:v>
      </x:c>
      <x:c r="E4" s="28" t="str">
        <x:v>Large job creation + capital investment; good if UMO later scales with warehouse/operation.</x:v>
      </x:c>
      <x:c r="F4" s="28" t="str">
        <x:v>https://gov.texas.gov/business/page/incentives</x:v>
      </x:c>
      <x:c r="H4" t="str">
        <x:v>Florida</x:v>
      </x:c>
      <x:c r="I4" s="56" t="n">
        <x:v>6</x:v>
      </x:c>
      <x:c r="J4" s="56" t="n">
        <x:v>4.6</x:v>
      </x:c>
      <x:c r="K4" t="str">
        <x:v>CITC, HIPI, QRT/FloridaFlex, IWT, corporate tax incentives, sales/use tax incentives.</x:v>
      </x:c>
    </x:row>
    <x:row r="5">
      <x:c r="A5" s="28" t="str">
        <x:v>Texas</x:v>
      </x:c>
      <x:c r="B5" s="28" t="str">
        <x:v>Texas Enterprise Zone Program</x:v>
      </x:c>
      <x:c r="C5" s="28" t="str">
        <x:v>Sales/use tax refund and local-state partnership</x:v>
      </x:c>
      <x:c r="D5" s="28" t="str">
        <x:v>High</x:v>
      </x:c>
      <x:c r="E5" s="28" t="str">
        <x:v>Useful for locating in distressed areas with job creation/private investment.</x:v>
      </x:c>
      <x:c r="F5" s="28" t="str">
        <x:v>https://gov.texas.gov/business/page/incentives</x:v>
      </x:c>
      <x:c r="H5" t="str">
        <x:v>Texas</x:v>
      </x:c>
      <x:c r="I5" s="56" t="n">
        <x:v>8</x:v>
      </x:c>
      <x:c r="J5" s="56" t="n">
        <x:v>5</x:v>
      </x:c>
      <x:c r="K5" t="str">
        <x:v>TEF, Enterprise Zone, TSBCI, Skills Development, JETI, Industrial Revenue Bonds, Opportunity Zones, In-State Tuition.</x:v>
      </x:c>
    </x:row>
    <x:row r="6">
      <x:c r="A6" s="28" t="str">
        <x:v>Texas</x:v>
      </x:c>
      <x:c r="B6" s="28" t="str">
        <x:v>Texas Small Business Credit Initiative</x:v>
      </x:c>
      <x:c r="C6" s="28" t="str">
        <x:v>Access to capital / small business financing</x:v>
      </x:c>
      <x:c r="D6" s="28" t="str">
        <x:v>Medium-High</x:v>
      </x:c>
      <x:c r="E6" s="28" t="str">
        <x:v>Could support smaller expansion or financing via participating lenders.</x:v>
      </x:c>
      <x:c r="F6" s="28" t="str">
        <x:v>https://gov.texas.gov/business/page/incentives</x:v>
      </x:c>
    </x:row>
    <x:row r="7">
      <x:c r="A7" s="28" t="str">
        <x:v>Texas</x:v>
      </x:c>
      <x:c r="B7" s="28" t="str">
        <x:v>Skills Development Fund</x:v>
      </x:c>
      <x:c r="C7" s="28" t="str">
        <x:v>Customized workforce training grants</x:v>
      </x:c>
      <x:c r="D7" s="28" t="str">
        <x:v>Medium-High</x:v>
      </x:c>
      <x:c r="E7" s="28" t="str">
        <x:v>Useful if UMO trains sales, logistics, assembly or service teams locally.</x:v>
      </x:c>
      <x:c r="F7" s="28" t="str">
        <x:v>https://gov.texas.gov/business/page/incentives</x:v>
      </x:c>
      <x:c r="H7" s="35" t="str">
        <x:v>Este indicador evalúa qué tan atractivo es cada estado para una posible expansión futura de UMO: bodega, representante comercial, alianza con distribuidor o pequeña operación local. Texas destaca por un portafolio amplio de incentivos, como Texas Enterprise Fund, Enterprise Zone Program, TSBCI, Skills Development Fund, JETI y Opportunity Zones. Florida también ofrece beneficios relevantes, como Capital Investment Tax Credit, High Impact Performance Incentive, Quick Response Training e Incumbent Worker Training, además de incentivos tributarios administrados por Florida Revenue. Para UMO, Texas recibe mayor calificación por amplitud y conexión con proyectos industriales/logísticos; Florida queda muy bien por su ecosistema comercial y programas de capacitación. Calificación: Texas 5/5, Florida 4,6/5.</x:v>
      </x:c>
    </x:row>
    <x:row r="8">
      <x:c r="A8" s="28" t="str">
        <x:v>Texas</x:v>
      </x:c>
      <x:c r="B8" s="28" t="str">
        <x:v>JETI</x:v>
      </x:c>
      <x:c r="C8" s="28" t="str">
        <x:v>Large capital-intensive economic incentive</x:v>
      </x:c>
      <x:c r="D8" s="28" t="str">
        <x:v>Medium</x:v>
      </x:c>
      <x:c r="E8" s="28" t="str">
        <x:v>High threshold; more relevant if UMO builds larger operation later.</x:v>
      </x:c>
      <x:c r="F8" s="28" t="str">
        <x:v>https://gov.texas.gov/business/page/incentives</x:v>
      </x:c>
    </x:row>
    <x:row r="9">
      <x:c r="A9" s="28" t="str">
        <x:v>Texas</x:v>
      </x:c>
      <x:c r="B9" s="28" t="str">
        <x:v>Industrial Revenue Bonds</x:v>
      </x:c>
      <x:c r="C9" s="28" t="str">
        <x:v>Financing support</x:v>
      </x:c>
      <x:c r="D9" s="28" t="str">
        <x:v>Medium</x:v>
      </x:c>
      <x:c r="E9" s="28" t="str">
        <x:v>Potential financing tool for facility/equipment-heavy expansion.</x:v>
      </x:c>
      <x:c r="F9" s="28" t="str">
        <x:v>https://gov.texas.gov/business/page/incentives</x:v>
      </x:c>
    </x:row>
    <x:row r="10">
      <x:c r="A10" s="28" t="str">
        <x:v>Texas</x:v>
      </x:c>
      <x:c r="B10" s="28" t="str">
        <x:v>Opportunity Zones</x:v>
      </x:c>
      <x:c r="C10" s="28" t="str">
        <x:v>Federal/local tax-incentive zones</x:v>
      </x:c>
      <x:c r="D10" s="28" t="str">
        <x:v>Medium</x:v>
      </x:c>
      <x:c r="E10" s="28" t="str">
        <x:v>Could lower tax burden if selecting a qualifying investment zone.</x:v>
      </x:c>
      <x:c r="F10" s="28" t="str">
        <x:v>https://gov.texas.gov/business/page/incentives</x:v>
      </x:c>
    </x:row>
    <x:row r="11">
      <x:c r="A11" s="28" t="str">
        <x:v>Texas</x:v>
      </x:c>
      <x:c r="B11" s="28" t="str">
        <x:v>In-State Tuition for Employees</x:v>
      </x:c>
      <x:c r="C11" s="28" t="str">
        <x:v>Talent relocation support</x:v>
      </x:c>
      <x:c r="D11" s="28" t="str">
        <x:v>Low-Medium</x:v>
      </x:c>
      <x:c r="E11" s="28" t="str">
        <x:v>Indirect benefit for relocating workers/families.</x:v>
      </x:c>
      <x:c r="F11" s="28" t="str">
        <x:v>https://businessintexas.com/why-texas/taxes-incentives/incentives/</x:v>
      </x:c>
    </x:row>
    <x:row r="12">
      <x:c r="A12" s="28" t="str">
        <x:v>Florida</x:v>
      </x:c>
      <x:c r="B12" s="28" t="str">
        <x:v>Capital Investment Tax Credit</x:v>
      </x:c>
      <x:c r="C12" s="28" t="str">
        <x:v>Corporate income tax credit up to 20 years</x:v>
      </x:c>
      <x:c r="D12" s="28" t="str">
        <x:v>High</x:v>
      </x:c>
      <x:c r="E12" s="28" t="str">
        <x:v>Useful for high-impact/capital-intensive projects, though thresholds are high.</x:v>
      </x:c>
      <x:c r="F12" s="28" t="str">
        <x:v>https://selectflorida.org/wp-content/uploads/incentive-capital-investment-tax-credit.pdf</x:v>
      </x:c>
    </x:row>
    <x:row r="13">
      <x:c r="A13" s="28" t="str">
        <x:v>Florida</x:v>
      </x:c>
      <x:c r="B13" s="28" t="str">
        <x:v>High Impact Performance Incentive</x:v>
      </x:c>
      <x:c r="C13" s="28" t="str">
        <x:v>Negotiated performance grant</x:v>
      </x:c>
      <x:c r="D13" s="28" t="str">
        <x:v>High</x:v>
      </x:c>
      <x:c r="E13" s="28" t="str">
        <x:v>Supports major facilities in high-impact sectors; not immediate for small entry.</x:v>
      </x:c>
      <x:c r="F13" s="28" t="str">
        <x:v>https://selectflorida.org/wp-content/uploads/incentive-high-impact-performance-grant.pdf</x:v>
      </x:c>
    </x:row>
    <x:row r="14">
      <x:c r="A14" s="28" t="str">
        <x:v>Florida</x:v>
      </x:c>
      <x:c r="B14" s="28" t="str">
        <x:v>Quick Response Training / FloridaFlex</x:v>
      </x:c>
      <x:c r="C14" s="28" t="str">
        <x:v>Customized training grants</x:v>
      </x:c>
      <x:c r="D14" s="28" t="str">
        <x:v>Medium-High</x:v>
      </x:c>
      <x:c r="E14" s="28" t="str">
        <x:v>Supports new/expanding businesses with specialized training needs.</x:v>
      </x:c>
      <x:c r="F14" s="28" t="str">
        <x:v>https://careersourceflorida.com/wp-content/uploads/2025/06/2025-26_QRT-Guidelines.pdf</x:v>
      </x:c>
    </x:row>
    <x:row r="15">
      <x:c r="A15" s="28" t="str">
        <x:v>Florida</x:v>
      </x:c>
      <x:c r="B15" s="28" t="str">
        <x:v>Incumbent Worker Training</x:v>
      </x:c>
      <x:c r="C15" s="28" t="str">
        <x:v>Training reimbursement up to 75%</x:v>
      </x:c>
      <x:c r="D15" s="28" t="str">
        <x:v>Medium</x:v>
      </x:c>
      <x:c r="E15" s="28" t="str">
        <x:v>Helps existing Florida businesses improve workforce skills.</x:v>
      </x:c>
      <x:c r="F15" s="28" t="str">
        <x:v>https://careersourceflorida.com/business-services/training-grants/</x:v>
      </x:c>
    </x:row>
    <x:row r="16">
      <x:c r="A16" s="28" t="str">
        <x:v>Florida</x:v>
      </x:c>
      <x:c r="B16" s="28" t="str">
        <x:v>Corporate Income Tax Incentives</x:v>
      </x:c>
      <x:c r="C16" s="28" t="str">
        <x:v>Tax credits/refunds/exemptions</x:v>
      </x:c>
      <x:c r="D16" s="28" t="str">
        <x:v>Medium</x:v>
      </x:c>
      <x:c r="E16" s="28" t="str">
        <x:v>Broad tax incentive framework for business development and job creation.</x:v>
      </x:c>
      <x:c r="F16" s="28" t="str">
        <x:v>https://floridarevenue.com/taxes/taxesfees/Pages/tax_incentives.aspx</x:v>
      </x:c>
    </x:row>
    <x:row r="17">
      <x:c r="A17" s="28" t="str">
        <x:v>Florida</x:v>
      </x:c>
      <x:c r="B17" s="28" t="str">
        <x:v>Sales and Use Tax Incentives</x:v>
      </x:c>
      <x:c r="C17" s="28" t="str">
        <x:v>Sales/use tax exemptions</x:v>
      </x:c>
      <x:c r="D17" s="28" t="str">
        <x:v>Medium</x:v>
      </x:c>
      <x:c r="E17" s="28" t="str">
        <x:v>Potential support if importing/manufacturing equipment locally.</x:v>
      </x:c>
      <x:c r="F17" s="28" t="str">
        <x:v>https://floridarevenue.com/taxes/taxesfees/Pages/tax_incentives.aspx</x:v>
      </x:c>
    </x:row>
  </x:sheetData>
  <x:mergeCells>
    <x:mergeCell ref="A1:K1"/>
    <x:mergeCell ref="H7:K7"/>
  </x:mergeCells>
  <x:pageMargins left="0.7" right="0.7" top="0.75" bottom="0.75" header="0.3" footer="0.3"/>
  <x:drawing xmlns:r="http://schemas.openxmlformats.org/officeDocument/2006/relationships" r:id="Rf18e828c8b1b401b"/>
  <x:tableParts count="1">
    <x:tablePart xmlns:r="http://schemas.openxmlformats.org/officeDocument/2006/relationships" r:id="R822939783d504a4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6" hidden="0" customWidth="1"/>
    <x:col min="3" max="3" width="12" hidden="0" customWidth="1"/>
    <x:col min="4" max="4" width="12" hidden="0" customWidth="1"/>
    <x:col min="5" max="5" width="14" hidden="0" customWidth="1"/>
  </x:cols>
  <x:sheetData>
    <x:row r="1" ht="19.200000762939453" hidden="0" customHeight="1">
      <x:c r="A1" s="51" t="str">
        <x:v>Textos analíticos listos para la página web</x:v>
      </x:c>
    </x:row>
    <x:row r="3">
      <x:c r="A3" s="21" t="str">
        <x:v>Indicador</x:v>
      </x:c>
      <x:c r="B3" s="21" t="str">
        <x:v>Texto analítico</x:v>
      </x:c>
      <x:c r="C3" s="21" t="str">
        <x:v>Florida</x:v>
      </x:c>
      <x:c r="D3" s="21" t="str">
        <x:v>Texas</x:v>
      </x:c>
      <x:c r="E3" s="21" t="str">
        <x:v>Ganador</x:v>
      </x:c>
    </x:row>
    <x:row r="4">
      <x:c r="A4" s="28" t="str">
        <x:v>Flujos de inversión Colombia ↔ EE.UU. y relevancia estatal</x:v>
      </x:c>
      <x:c r="B4" s="28" t="str">
        <x:v>Este indicador mide la relación de inversión entre Colombia y Estados Unidos. Los datos oficiales de SelectUSA muestran que el stock de inversión colombiana en EE.UU. pasó de US$4.044 millones en 2020 a US$5.174 millones en 2024, señal de una relación de inversión creciente. Aunque no existe una serie pública oficial anual Colombia→Florida/Texas, ANDI indica que Florida concentró históricamente el 45% del valor invertido por empresas colombianas en EE.UU.; Texas también aparece como destino por ubicación estratégica e incentivos fiscales. Para UMO, esto significa que Florida ofrece una entrada natural por afinidad colombiana/latina, mientras Texas tiene mejor potencial industrial y logístico. Calificación: Florida 5/5, Texas 4,3/5.</x:v>
      </x:c>
      <x:c r="C4" s="30" t="n">
        <x:v>5</x:v>
      </x:c>
      <x:c r="D4" s="30" t="n">
        <x:v>4.3</x:v>
      </x:c>
      <x:c r="E4" s="28" t="str">
        <x:v>Florida</x:v>
      </x:c>
    </x:row>
    <x:row r="5">
      <x:c r="A5" s="28" t="str">
        <x:v>Principales sectores receptores de inversión</x:v>
      </x:c>
      <x:c r="B5" s="28" t="str">
        <x:v>Este indicador identifica en qué sectores se concentra la inversión extranjera y si esos sectores son compatibles con la internacionalización de UMO. En Florida predominan servicios empresariales, software, real estate, finanzas y transporte; esto favorece una entrada comercial, distribución y networking. Texas muestra mayor volumen total de proyectos y sectores más cercanos a la operación de UMO: software, servicios empresariales, equipo industrial, energía y transporte/almacenamiento. Para una empresa que vende sillines/cojines para tractores, podadoras y maquinaria, Texas ofrece mejor ecosistema industrial y B2B; Florida sigue siendo fuerte como plataforma comercial y puente con Latinoamérica. Calificación: Texas 5/5, Florida 4,4/5.</x:v>
      </x:c>
      <x:c r="C5" s="30" t="n">
        <x:v>4.4</x:v>
      </x:c>
      <x:c r="D5" s="30" t="n">
        <x:v>5</x:v>
      </x:c>
      <x:c r="E5" s="28" t="str">
        <x:v>Texas</x:v>
      </x:c>
    </x:row>
    <x:row r="6">
      <x:c r="A6" s="28" t="str">
        <x:v>Incentivos a la inversión en Florida y Texas</x:v>
      </x:c>
      <x:c r="B6" s="28" t="str">
        <x:v>Este indicador evalúa qué tan atractivo es cada estado para una posible expansión futura de UMO: bodega, representante comercial, alianza con distribuidor o pequeña operación local. Texas destaca por un portafolio amplio de incentivos, como Texas Enterprise Fund, Enterprise Zone Program, TSBCI, Skills Development Fund, JETI y Opportunity Zones. Florida también ofrece beneficios relevantes, como Capital Investment Tax Credit, High Impact Performance Incentive, Quick Response Training e Incumbent Worker Training, además de incentivos tributarios administrados por Florida Revenue. Para UMO, Texas recibe mayor calificación por amplitud y conexión con proyectos industriales/logísticos; Florida queda muy bien por su ecosistema comercial y programas de capacitación. Calificación: Texas 5/5, Florida 4,6/5.</x:v>
      </x:c>
      <x:c r="C6" s="30" t="n">
        <x:v>4.6</x:v>
      </x:c>
      <x:c r="D6" s="30" t="n">
        <x:v>5</x:v>
      </x:c>
      <x:c r="E6" s="28" t="str">
        <x:v>Texas</x:v>
      </x:c>
    </x:row>
    <x:row r="8">
      <x:c r="A8" s="60" t="str">
        <x:v>Uso recomendado: copiar estos textos debajo de cada gráfico en la página web. Cada texto está pensado para ser corto, justificativo y conectado con UMO.</x:v>
      </x:c>
    </x:row>
  </x:sheetData>
  <x:mergeCells>
    <x:mergeCell ref="A1:E1"/>
    <x:mergeCell ref="A8:E8"/>
  </x:mergeCells>
  <x:pageMargins left="0.7" right="0.7" top="0.75" bottom="0.75" header="0.3" footer="0.3"/>
  <x:tableParts count="1">
    <x:tablePart xmlns:r="http://schemas.openxmlformats.org/officeDocument/2006/relationships" r:id="R32808888ed2d404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8" hidden="0" customWidth="1"/>
    <x:col min="3" max="3" width="86" hidden="0" customWidth="1"/>
  </x:cols>
  <x:sheetData>
    <x:row r="1" ht="19.200000762939453" hidden="0" customHeight="1">
      <x:c r="A1" s="51" t="str">
        <x:v>Fuentes verificadas y notas metodológicas</x:v>
      </x:c>
    </x:row>
    <x:row r="3">
      <x:c r="A3" s="21" t="str">
        <x:v>Fuente</x:v>
      </x:c>
      <x:c r="B3" s="21" t="str">
        <x:v>Uso en el Excel</x:v>
      </x:c>
      <x:c r="C3" s="21" t="str">
        <x:v>URL</x:v>
      </x:c>
    </x:row>
    <x:row r="4">
      <x:c r="A4" s="28" t="str">
        <x:v>SelectUSA Colombia FDI Fact Sheet 2025</x:v>
      </x:c>
      <x:c r="B4" s="28" t="str">
        <x:v>Datos oficiales de stock/flujo FDI Colombia↔EE.UU. 2020-2024 y sectores colombianos en USA.</x:v>
      </x:c>
      <x:c r="C4" s="28" t="str">
        <x:v>https://www.trade.gov/sites/default/files/2025-11/Colombia-508.pdf</x:v>
      </x:c>
    </x:row>
    <x:row r="5">
      <x:c r="A5" s="28" t="str">
        <x:v>SelectUSA Florida FDI Fact Sheet 2026</x:v>
      </x:c>
      <x:c r="B5" s="28" t="str">
        <x:v>Empleo soportado por filiales extranjeras y proyectos greenfield por sector en Florida.</x:v>
      </x:c>
      <x:c r="C5" s="28" t="str">
        <x:v>https://www.trade.gov/sites/default/files/2026-03/Florida-508.pdf</x:v>
      </x:c>
    </x:row>
    <x:row r="6">
      <x:c r="A6" s="28" t="str">
        <x:v>SelectUSA Texas FDI Fact Sheet 2026</x:v>
      </x:c>
      <x:c r="B6" s="28" t="str">
        <x:v>Empleo soportado por filiales extranjeras y proyectos greenfield por sector en Texas.</x:v>
      </x:c>
      <x:c r="C6" s="28" t="str">
        <x:v>https://www.trade.gov/sites/default/files/2026-03/Texas-508.pdf</x:v>
      </x:c>
    </x:row>
    <x:row r="7">
      <x:c r="A7" s="28" t="str">
        <x:v>ANDI Colombia-U.S. Investment Roadmap</x:v>
      </x:c>
      <x:c r="B7" s="28" t="str">
        <x:v>Referencia de concentración de inversión colombiana en Florida y mención de Texas como destino por ubicación e incentivos.</x:v>
      </x:c>
      <x:c r="C7" s="28" t="str">
        <x:v>https://www.andi.com.co/Uploads/Investment%20Roadmap.pdf</x:v>
      </x:c>
    </x:row>
    <x:row r="8">
      <x:c r="A8" s="28" t="str">
        <x:v>BEA Direct Investment by Country and Industry 2024</x:v>
      </x:c>
      <x:c r="B8" s="28" t="str">
        <x:v>Contexto oficial del stock de FDI en EE.UU. y concentración por industria.</x:v>
      </x:c>
      <x:c r="C8" s="28" t="str">
        <x:v>https://www.bea.gov/news/2025/direct-investment-country-and-industry-2024</x:v>
      </x:c>
    </x:row>
    <x:row r="9">
      <x:c r="A9" s="28" t="str">
        <x:v>Texas Governor - Incentive Programs</x:v>
      </x:c>
      <x:c r="B9" s="28" t="str">
        <x:v>Lista oficial de incentivos y financiamiento económico en Texas.</x:v>
      </x:c>
      <x:c r="C9" s="28" t="str">
        <x:v>https://gov.texas.gov/business/page/incentives</x:v>
      </x:c>
    </x:row>
    <x:row r="10">
      <x:c r="A10" s="28" t="str">
        <x:v>TxEDC - Texas Business Incentives</x:v>
      </x:c>
      <x:c r="B10" s="28" t="str">
        <x:v>Descripción de incentivos clave: TEF, Enterprise Zone, Skills Development, etc.</x:v>
      </x:c>
      <x:c r="C10" s="28" t="str">
        <x:v>https://businessintexas.com/why-texas/taxes-incentives/incentives/</x:v>
      </x:c>
    </x:row>
    <x:row r="11">
      <x:c r="A11" s="28" t="str">
        <x:v>Florida Department of Revenue - Tax Incentives</x:v>
      </x:c>
      <x:c r="B11" s="28" t="str">
        <x:v>Incentivos tributarios de Florida por tipo de impuesto.</x:v>
      </x:c>
      <x:c r="C11" s="28" t="str">
        <x:v>https://floridarevenue.com/taxes/taxesfees/Pages/tax_incentives.aspx</x:v>
      </x:c>
    </x:row>
    <x:row r="12">
      <x:c r="A12" s="28" t="str">
        <x:v>SelectFlorida - Capital Investment Tax Credit</x:v>
      </x:c>
      <x:c r="B12" s="28" t="str">
        <x:v>Detalle del CITC: crédito anual contra impuesto de renta corporativo para proyectos de capital.</x:v>
      </x:c>
      <x:c r="C12" s="28" t="str">
        <x:v>https://selectflorida.org/wp-content/uploads/incentive-capital-investment-tax-credit.pdf</x:v>
      </x:c>
    </x:row>
    <x:row r="13">
      <x:c r="A13" s="28" t="str">
        <x:v>CareerSource Florida - Quick Response Training 2025-2026</x:v>
      </x:c>
      <x:c r="B13" s="28" t="str">
        <x:v>Guía oficial del programa QRT/FloridaFlex para entrenamiento de nuevos empleos.</x:v>
      </x:c>
      <x:c r="C13" s="28" t="str">
        <x:v>https://careersourceflorida.com/wp-content/uploads/2025/06/2025-26_QRT-Guidelines.pdf</x:v>
      </x:c>
    </x:row>
    <x:row r="15">
      <x:c r="A15" s="60" t="str">
        <x:v>Nota: para el indicador de flujos entre Colombia y estados seleccionados, no hay serie pública oficial anual Colombia→Florida/Texas. Se usó la fuente oficial SelectUSA/BEA para Colombia→EE.UU. y ANDI/FDI Markets para sustentar la relevancia estatal. Las calificaciones son estratégicas, no datos oficiales.</x:v>
      </x:c>
    </x:row>
  </x:sheetData>
  <x:mergeCells>
    <x:mergeCell ref="A1:D1"/>
    <x:mergeCell ref="A15:C15"/>
  </x:mergeCells>
  <x:pageMargins left="0.7" right="0.7" top="0.75" bottom="0.75" header="0.3" footer="0.3"/>
  <x:tableParts count="1">
    <x:tablePart xmlns:r="http://schemas.openxmlformats.org/officeDocument/2006/relationships" r:id="R3688726bdca4468a"/>
  </x:tableParts>
</x:worksheet>
</file>