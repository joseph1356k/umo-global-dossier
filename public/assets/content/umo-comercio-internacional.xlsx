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xml" ContentType="application/vnd.openxmlformats-officedocument.spreadsheetml.table+xml"/>
  <Override PartName="/xl/worksheets/sheet3.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tables/table2.xml" ContentType="application/vnd.openxmlformats-officedocument.spreadsheetml.table+xml"/>
  <Override PartName="/xl/tables/table3.xml" ContentType="application/vnd.openxmlformats-officedocument.spreadsheetml.table+xml"/>
  <Override PartName="/xl/worksheets/sheet4.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5609ddb4d664dd3" /></Relationships>
</file>

<file path=xl/workbook.xml><?xml version="1.0" encoding="utf-8"?>
<x:workbook xmlns:x="http://schemas.openxmlformats.org/spreadsheetml/2006/main">
  <x:sheets>
    <x:sheet xmlns:r="http://schemas.openxmlformats.org/officeDocument/2006/relationships" name="00_Dashboard" sheetId="1" r:id="Rf3836164f1084e5b"/>
    <x:sheet xmlns:r="http://schemas.openxmlformats.org/officeDocument/2006/relationships" name="01_Instituciones" sheetId="2" r:id="R33511b23f3cf4717"/>
    <x:sheet xmlns:r="http://schemas.openxmlformats.org/officeDocument/2006/relationships" name="02_Balanza_Comercial" sheetId="3" r:id="R02a8ea05df4c4aa2"/>
    <x:sheet xmlns:r="http://schemas.openxmlformats.org/officeDocument/2006/relationships" name="03_Ruta_Logistica" sheetId="4" r:id="Rdeb6be7306474a8f"/>
    <x:sheet xmlns:r="http://schemas.openxmlformats.org/officeDocument/2006/relationships" name="04_Fuentes" sheetId="5" r:id="R32fae01022d641f4"/>
    <x:sheet xmlns:r="http://schemas.openxmlformats.org/officeDocument/2006/relationships" name="05_Metodologia" sheetId="6" r:id="R101a4a19adae480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
    <x:numFmt numFmtId="201" formatCode="0"/>
    <x:numFmt numFmtId="202" formatCode="$0.0"/>
    <x:numFmt numFmtId="203" formatCode="#,##0"/>
  </x:numFmts>
  <x:fonts count="9">
    <x:font>
      <x:sz val="11"/>
      <x:name val="Carlito"/>
    </x:font>
    <x:font>
      <x:b/>
      <x:sz val="16"/>
      <x:color rgb="FFFFFF"/>
      <x:name val="Carlito"/>
    </x:font>
    <x:font>
      <x:i/>
      <x:sz val="10"/>
      <x:color rgb="111827"/>
      <x:name val="Carlito"/>
    </x:font>
    <x:font>
      <x:b/>
      <x:sz val="11"/>
      <x:color rgb="FFFFFF"/>
      <x:name val="Carlito"/>
    </x:font>
    <x:font>
      <x:b/>
      <x:sz val="11"/>
      <x:color rgb="111827"/>
      <x:name val="Carlito"/>
    </x:font>
    <x:font>
      <x:b/>
      <x:sz val="10"/>
      <x:color rgb="FFFFFF"/>
      <x:name val="Aptos"/>
    </x:font>
    <x:font>
      <x:sz val="10"/>
      <x:name val="Aptos"/>
    </x:font>
    <x:font>
      <x:b/>
      <x:sz val="16"/>
      <x:color rgb="FFFFFF"/>
      <x:name val="Aptos"/>
    </x:font>
    <x:font>
      <x:b/>
      <x:sz val="11"/>
      <x:name val="Carlito"/>
    </x:font>
  </x:fonts>
  <x:fills count="13">
    <x:fill>
      <x:patternFill patternType="none"/>
    </x:fill>
    <x:fill>
      <x:patternFill patternType="gray125"/>
    </x:fill>
    <x:fill>
      <x:patternFill patternType="solid">
        <x:fgColor rgb="111827"/>
      </x:patternFill>
    </x:fill>
    <x:fill>
      <x:patternFill patternType="solid">
        <x:fgColor rgb="E5E7EB"/>
      </x:patternFill>
    </x:fill>
    <x:fill>
      <x:patternFill patternType="solid">
        <x:fgColor rgb="0F766E"/>
      </x:patternFill>
    </x:fill>
    <x:fill>
      <x:patternFill patternType="solid">
        <x:fgColor rgb="F59E0B"/>
      </x:patternFill>
    </x:fill>
    <x:fill>
      <x:patternFill patternType="solid">
        <x:fgColor rgb="FFF7ED"/>
      </x:patternFill>
    </x:fill>
    <x:fill>
      <x:patternFill patternType="solid">
        <x:fgColor rgb="1F4E79"/>
      </x:patternFill>
    </x:fill>
    <x:fill>
      <x:patternFill patternType="solid">
        <x:fgColor rgb="374151"/>
      </x:patternFill>
    </x:fill>
    <x:fill>
      <x:patternFill patternType="solid">
        <x:fgColor rgb="F9FAFB"/>
      </x:patternFill>
    </x:fill>
    <x:fill>
      <x:patternFill patternType="solid">
        <x:fgColor rgb="FDE68A"/>
      </x:patternFill>
    </x:fill>
    <x:fill>
      <x:patternFill patternType="solid">
        <x:fgColor rgb="FFFBEB"/>
      </x:patternFill>
    </x:fill>
    <x:fill>
      <x:patternFill patternType="solid">
        <x:fgColor rgb="E0F2FE"/>
      </x:patternFill>
    </x:fill>
  </x:fills>
  <x:borders count="2">
    <x:border/>
    <x:border/>
  </x:borders>
  <x:cellStyleXfs count="1">
    <x:xf numFmtId="0" fontId="0" fillId="0" borderId="0"/>
  </x:cellStyleXfs>
  <x:cellXfs count="11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horizontal="center"/>
    </x:xf>
    <x:xf numFmtId="0" fontId="0" fillId="6" borderId="0" xfId="0" applyNumberFormat="1" applyFont="1" applyFill="1" applyBorder="1"/>
    <x:xf numFmtId="0" fontId="0" fillId="6" borderId="0" xfId="0" applyNumberFormat="1" applyFont="1" applyFill="1" applyBorder="1" applyAlignment="1">
      <x:alignment wrapText="1"/>
    </x:xf>
    <x:xf numFmtId="0" fontId="0" fillId="6" borderId="0" xfId="0" applyNumberFormat="1" applyFont="1" applyFill="1" applyBorder="1" applyAlignment="1">
      <x:alignment vertical="top" wrapText="1"/>
    </x:xf>
    <x:xf numFmtId="0" fontId="0" fillId="6" borderId="1" xfId="0" applyNumberFormat="1" applyFont="1" applyFill="1" applyBorder="1"/>
    <x:xf numFmtId="0" fontId="0" fillId="6" borderId="1" xfId="0" applyNumberFormat="1" applyFont="1" applyFill="1" applyBorder="1" applyAlignment="1">
      <x:alignment wrapText="1"/>
    </x:xf>
    <x:xf numFmtId="0" fontId="0" fillId="6" borderId="1" xfId="0" applyNumberFormat="1" applyFont="1" applyFill="1" applyBorder="1" applyAlignment="1">
      <x:alignment vertical="top"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horizontal="center"/>
    </x:xf>
    <x:xf numFmtId="0" fontId="0" fillId="7" borderId="1" xfId="0" applyNumberFormat="1" applyFont="1" applyFill="1" applyBorder="1"/>
    <x:xf numFmtId="0" fontId="3" fillId="7" borderId="1" xfId="0" applyNumberFormat="1" applyFont="1" applyFill="1" applyBorder="1"/>
    <x:xf numFmtId="0" fontId="3" fillId="7" borderId="1" xfId="0" applyNumberFormat="1" applyFont="1" applyFill="1" applyBorder="1" applyAlignment="1">
      <x:alignment horizontal="center"/>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horizontal="center" wrapText="1"/>
    </x:xf>
    <x:xf numFmtId="0" fontId="3" fillId="8" borderId="0" xfId="0" applyNumberFormat="1" applyFont="1" applyFill="1" applyBorder="1" applyAlignment="1">
      <x:alignment horizontal="center" vertical="center" wrapText="1"/>
    </x:xf>
    <x:xf numFmtId="0" fontId="0" fillId="8" borderId="1"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wrapText="1"/>
    </x:xf>
    <x:xf numFmtId="0" fontId="3" fillId="8" borderId="1" xfId="0" applyNumberFormat="1" applyFont="1" applyFill="1" applyBorder="1" applyAlignment="1">
      <x:alignment horizontal="center" wrapText="1"/>
    </x:xf>
    <x:xf numFmtId="0" fontId="3" fillId="8" borderId="1" xfId="0" applyNumberFormat="1" applyFont="1" applyFill="1" applyBorder="1" applyAlignment="1">
      <x:alignment horizontal="center" vertical="center" wrapText="1"/>
    </x:xf>
    <x:xf numFmtId="0" fontId="5" fillId="2" borderId="0" xfId="0" applyNumberFormat="1" applyFont="1" applyFill="1" applyBorder="1" applyAlignment="1">
      <x:alignment horizontal="center" vertical="center"/>
    </x:xf>
    <x:xf numFmtId="0" fontId="6" fillId="0" borderId="0" xfId="0" applyNumberFormat="1" applyFont="1" applyFill="1" applyBorder="1"/>
    <x:xf numFmtId="0" fontId="5" fillId="2" borderId="1" xfId="0" applyNumberFormat="1" applyFont="1" applyFill="1" applyBorder="1" applyAlignment="1">
      <x:alignment horizontal="center" vertical="center"/>
    </x:xf>
    <x:xf numFmtId="0" fontId="6" fillId="0" borderId="1" xfId="0" applyNumberFormat="1" applyFont="1" applyFill="1" applyBorder="1"/>
    <x:xf numFmtId="0" fontId="6" fillId="2" borderId="0" xfId="0" applyNumberFormat="1" applyFont="1" applyFill="1" applyBorder="1"/>
    <x:xf numFmtId="0" fontId="7" fillId="2" borderId="0" xfId="0" applyNumberFormat="1" applyFont="1" applyFill="1" applyBorder="1"/>
    <x:xf numFmtId="0" fontId="7" fillId="2" borderId="0" xfId="0" applyNumberFormat="1" applyFont="1" applyFill="1" applyBorder="1" applyAlignment="1">
      <x:alignment horizontal="center"/>
    </x:xf>
    <x:xf numFmtId="0" fontId="7" fillId="2" borderId="0" xfId="0" applyNumberFormat="1" applyFont="1" applyFill="1" applyBorder="1" applyAlignment="1">
      <x:alignment horizontal="center" vertical="center"/>
    </x:xf>
    <x:xf numFmtId="0" fontId="6" fillId="2" borderId="1" xfId="0" applyNumberFormat="1" applyFont="1" applyFill="1" applyBorder="1"/>
    <x:xf numFmtId="0" fontId="7" fillId="2" borderId="1" xfId="0" applyNumberFormat="1" applyFont="1" applyFill="1" applyBorder="1"/>
    <x:xf numFmtId="0" fontId="7" fillId="2" borderId="1" xfId="0" applyNumberFormat="1" applyFont="1" applyFill="1" applyBorder="1" applyAlignment="1">
      <x:alignment horizontal="center"/>
    </x:xf>
    <x:xf numFmtId="0" fontId="7" fillId="2" borderId="1" xfId="0" applyNumberFormat="1" applyFont="1" applyFill="1" applyBorder="1" applyAlignment="1">
      <x:alignment horizontal="center" vertical="center"/>
    </x:xf>
    <x:xf numFmtId="201" fontId="0" fillId="0" borderId="0" xfId="0" applyNumberFormat="1" applyFont="1" applyFill="1" applyBorder="1"/>
    <x:xf numFmtId="201" fontId="0" fillId="0"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0" fontId="8" fillId="5" borderId="0" xfId="0" applyNumberFormat="1" applyFont="1" applyFill="1" applyBorder="1"/>
    <x:xf numFmtId="0" fontId="8" fillId="5" borderId="0" xfId="0" applyNumberFormat="1" applyFont="1" applyFill="1" applyBorder="1" applyAlignment="1">
      <x:alignment horizontal="center"/>
    </x:xf>
    <x:xf numFmtId="0" fontId="8" fillId="5" borderId="1" xfId="0" applyNumberFormat="1" applyFont="1" applyFill="1" applyBorder="1"/>
    <x:xf numFmtId="0" fontId="8" fillId="5" borderId="1" xfId="0" applyNumberFormat="1" applyFont="1" applyFill="1" applyBorder="1" applyAlignment="1">
      <x:alignment horizontal="center"/>
    </x:xf>
    <x:xf numFmtId="0" fontId="0" fillId="9" borderId="0" xfId="0" applyNumberFormat="1" applyFont="1" applyFill="1" applyBorder="1"/>
    <x:xf numFmtId="0" fontId="0" fillId="9" borderId="0" xfId="0" applyNumberFormat="1" applyFont="1" applyFill="1" applyBorder="1" applyAlignment="1">
      <x:alignment wrapText="1"/>
    </x:xf>
    <x:xf numFmtId="0" fontId="0" fillId="9" borderId="0" xfId="0" applyNumberFormat="1" applyFont="1" applyFill="1" applyBorder="1" applyAlignment="1">
      <x:alignment vertical="top" wrapText="1"/>
    </x:xf>
    <x:xf numFmtId="0" fontId="0" fillId="9" borderId="1" xfId="0" applyNumberFormat="1" applyFont="1" applyFill="1" applyBorder="1"/>
    <x:xf numFmtId="0" fontId="0" fillId="9" borderId="1" xfId="0" applyNumberFormat="1" applyFont="1" applyFill="1" applyBorder="1" applyAlignment="1">
      <x:alignment wrapText="1"/>
    </x:xf>
    <x:xf numFmtId="0" fontId="0" fillId="9" borderId="1" xfId="0" applyNumberFormat="1" applyFont="1" applyFill="1" applyBorder="1" applyAlignment="1">
      <x:alignment vertical="top" wrapText="1"/>
    </x:xf>
    <x:xf numFmtId="0" fontId="3" fillId="8" borderId="0" xfId="0" applyNumberFormat="1" applyFont="1" applyFill="1" applyBorder="1" applyAlignment="1">
      <x:alignment horizontal="center"/>
    </x:xf>
    <x:xf numFmtId="0" fontId="3" fillId="8" borderId="1" xfId="0" applyNumberFormat="1" applyFont="1" applyFill="1" applyBorder="1" applyAlignment="1">
      <x:alignment horizontal="center"/>
    </x:xf>
    <x:xf numFmtId="0" fontId="3" fillId="7" borderId="0" xfId="0" applyNumberFormat="1" applyFont="1" applyFill="1" applyBorder="1" applyAlignment="1">
      <x:alignment wrapText="1"/>
    </x:xf>
    <x:xf numFmtId="0" fontId="3" fillId="7" borderId="0" xfId="0" applyNumberFormat="1" applyFont="1" applyFill="1" applyBorder="1" applyAlignment="1">
      <x:alignment horizontal="center" wrapText="1"/>
    </x:xf>
    <x:xf numFmtId="0" fontId="3" fillId="7" borderId="0" xfId="0" applyNumberFormat="1" applyFont="1" applyFill="1" applyBorder="1" applyAlignment="1">
      <x:alignment horizontal="center" vertical="center" wrapText="1"/>
    </x:xf>
    <x:xf numFmtId="0" fontId="3" fillId="7" borderId="1" xfId="0" applyNumberFormat="1" applyFont="1" applyFill="1" applyBorder="1" applyAlignment="1">
      <x:alignment wrapText="1"/>
    </x:xf>
    <x:xf numFmtId="0" fontId="3" fillId="7" borderId="1" xfId="0" applyNumberFormat="1" applyFont="1" applyFill="1" applyBorder="1" applyAlignment="1">
      <x:alignment horizontal="center" wrapText="1"/>
    </x:xf>
    <x:xf numFmtId="0" fontId="3" fillId="7" borderId="1" xfId="0" applyNumberFormat="1" applyFont="1" applyFill="1" applyBorder="1" applyAlignment="1">
      <x:alignment horizontal="center" vertical="center" wrapText="1"/>
    </x:xf>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0" fontId="0" fillId="10" borderId="0" xfId="0" applyNumberFormat="1" applyFont="1" applyFill="1" applyBorder="1"/>
    <x:xf numFmtId="0" fontId="8" fillId="10" borderId="0" xfId="0" applyNumberFormat="1" applyFont="1" applyFill="1" applyBorder="1"/>
    <x:xf numFmtId="0" fontId="8" fillId="10" borderId="0" xfId="0" applyNumberFormat="1" applyFont="1" applyFill="1" applyBorder="1" applyAlignment="1">
      <x:alignment horizontal="center"/>
    </x:xf>
    <x:xf numFmtId="0" fontId="0" fillId="10" borderId="1" xfId="0" applyNumberFormat="1" applyFont="1" applyFill="1" applyBorder="1"/>
    <x:xf numFmtId="0" fontId="8" fillId="10" borderId="1" xfId="0" applyNumberFormat="1" applyFont="1" applyFill="1" applyBorder="1"/>
    <x:xf numFmtId="0" fontId="8" fillId="10" borderId="1" xfId="0" applyNumberFormat="1" applyFont="1" applyFill="1" applyBorder="1" applyAlignment="1">
      <x:alignment horizontal="center"/>
    </x:xf>
    <x:xf numFmtId="0" fontId="0" fillId="11" borderId="0" xfId="0" applyNumberFormat="1" applyFont="1" applyFill="1" applyBorder="1"/>
    <x:xf numFmtId="0" fontId="0" fillId="11" borderId="0" xfId="0" applyNumberFormat="1" applyFont="1" applyFill="1" applyBorder="1" applyAlignment="1">
      <x:alignment wrapText="1"/>
    </x:xf>
    <x:xf numFmtId="0" fontId="0" fillId="11" borderId="0" xfId="0" applyNumberFormat="1" applyFont="1" applyFill="1" applyBorder="1" applyAlignment="1">
      <x:alignment vertical="top" wrapText="1"/>
    </x:xf>
    <x:xf numFmtId="0" fontId="0" fillId="11" borderId="1" xfId="0" applyNumberFormat="1" applyFont="1" applyFill="1" applyBorder="1"/>
    <x:xf numFmtId="0" fontId="0" fillId="11" borderId="1" xfId="0" applyNumberFormat="1" applyFont="1" applyFill="1" applyBorder="1" applyAlignment="1">
      <x:alignment wrapText="1"/>
    </x:xf>
    <x:xf numFmtId="0" fontId="0" fillId="11" borderId="1" xfId="0" applyNumberFormat="1" applyFont="1" applyFill="1" applyBorder="1" applyAlignment="1">
      <x:alignment vertical="top" wrapText="1"/>
    </x:xf>
    <x:xf numFmtId="203" fontId="0" fillId="0" borderId="0" xfId="0" applyNumberFormat="1" applyFont="1" applyFill="1" applyBorder="1"/>
    <x:xf numFmtId="203" fontId="0" fillId="0" borderId="1" xfId="0" applyNumberFormat="1" applyFont="1" applyFill="1" applyBorder="1"/>
    <x:xf numFmtId="0" fontId="0" fillId="12" borderId="0" xfId="0" applyNumberFormat="1" applyFont="1" applyFill="1" applyBorder="1"/>
    <x:xf numFmtId="0" fontId="0" fillId="12" borderId="0" xfId="0" applyNumberFormat="1" applyFont="1" applyFill="1" applyBorder="1" applyAlignment="1">
      <x:alignment wrapText="1"/>
    </x:xf>
    <x:xf numFmtId="0" fontId="0" fillId="12"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d6d06ef01344300" /><Relationship Type="http://schemas.openxmlformats.org/officeDocument/2006/relationships/theme" Target="/xl/theme/theme1.xml" Id="R32568de353884864" /><Relationship Type="http://schemas.openxmlformats.org/officeDocument/2006/relationships/sharedStrings" Target="/xl/sharedStrings.xml" Id="Rea6c3be59bb149f4" /><Relationship Type="http://schemas.openxmlformats.org/officeDocument/2006/relationships/worksheet" Target="/xl/worksheets/sheet1.xml" Id="Rf3836164f1084e5b" /><Relationship Type="http://schemas.openxmlformats.org/officeDocument/2006/relationships/worksheet" Target="/xl/worksheets/sheet2.xml" Id="R33511b23f3cf4717" /><Relationship Type="http://schemas.openxmlformats.org/officeDocument/2006/relationships/worksheet" Target="/xl/worksheets/sheet3.xml" Id="R02a8ea05df4c4aa2" /><Relationship Type="http://schemas.openxmlformats.org/officeDocument/2006/relationships/worksheet" Target="/xl/worksheets/sheet4.xml" Id="Rdeb6be7306474a8f" /><Relationship Type="http://schemas.openxmlformats.org/officeDocument/2006/relationships/worksheet" Target="/xl/worksheets/sheet5.xml" Id="R32fae01022d641f4" /><Relationship Type="http://schemas.openxmlformats.org/officeDocument/2006/relationships/worksheet" Target="/xl/worksheets/sheet6.xml" Id="R101a4a19adae480c" /></Relationships>
</file>

<file path=xl/drawings/_rels/drawing1.xml.rels>&#65279;<?xml version="1.0" encoding="utf-8"?><Relationships xmlns="http://schemas.openxmlformats.org/package/2006/relationships"><Relationship Type="http://schemas.openxmlformats.org/officeDocument/2006/relationships/chart" Target="/xl/drawings/charts/chart1.xml" Id="R2f6d7e6ba95b4de2" /></Relationships>
</file>

<file path=xl/drawings/_rels/drawing2.xml.rels>&#65279;<?xml version="1.0" encoding="utf-8"?><Relationships xmlns="http://schemas.openxmlformats.org/package/2006/relationships"><Relationship Type="http://schemas.openxmlformats.org/officeDocument/2006/relationships/chart" Target="/xl/drawings/charts/chart2.xml" Id="R564d23dc03e6450d" /></Relationships>
</file>

<file path=xl/drawings/_rels/drawing3.xml.rels>&#65279;<?xml version="1.0" encoding="utf-8"?><Relationships xmlns="http://schemas.openxmlformats.org/package/2006/relationships"><Relationship Type="http://schemas.openxmlformats.org/officeDocument/2006/relationships/chart" Target="/xl/drawings/charts/chart3.xml" Id="R40a3dab20a2e40e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Instituciones de apoyo: índice 0–5 (2021–2025)</a:t>
            </a:r>
          </a:p>
        </c:rich>
      </c:tx>
      <c:overlay val="0"/>
    </c:title>
    <c:autoTitleDeleted val="0"/>
    <c:plotArea>
      <c:layout/>
      <c:lineChart>
        <c:ser>
          <c:idx val="0"/>
          <c:order val="0"/>
          <c:tx>
            <c:v>EE.UU. base</c:v>
          </c:tx>
          <c:cat>
            <c:strRef>
              <c:f>'01_Instituciones'!$A$5:$A$9</c:f>
              <c:strCache>
                <c:ptCount val="0"/>
              </c:strCache>
            </c:strRef>
          </c:cat>
          <c:val>
            <c:numRef>
              <c:f>'01_Instituciones'!$B$5:$B$9</c:f>
              <c:numCache>
                <c:formatCode>0.0</c:formatCode>
                <c:ptCount val="0"/>
              </c:numCache>
            </c:numRef>
          </c:val>
          <c:smooth val="0"/>
        </c:ser>
        <c:ser>
          <c:idx val="1"/>
          <c:order val="1"/>
          <c:tx>
            <c:v>Florida</c:v>
          </c:tx>
          <c:cat>
            <c:strRef>
              <c:f>'01_Instituciones'!$A$5:$A$9</c:f>
              <c:strCache>
                <c:ptCount val="0"/>
              </c:strCache>
            </c:strRef>
          </c:cat>
          <c:val>
            <c:numRef>
              <c:f>'01_Instituciones'!$C$5:$C$9</c:f>
              <c:numCache>
                <c:formatCode>0.0</c:formatCode>
                <c:ptCount val="0"/>
              </c:numCache>
            </c:numRef>
          </c:val>
          <c:smooth val="0"/>
        </c:ser>
        <c:ser>
          <c:idx val="2"/>
          <c:order val="2"/>
          <c:tx>
            <c:v>Texas</c:v>
          </c:tx>
          <c:cat>
            <c:strRef>
              <c:f>'01_Instituciones'!$A$5:$A$9</c:f>
              <c:strCache>
                <c:ptCount val="0"/>
              </c:strCache>
            </c:strRef>
          </c:cat>
          <c:val>
            <c:numRef>
              <c:f>'01_Instituciones'!$D$5:$D$9</c:f>
              <c:numCache>
                <c:formatCode>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Comercio de bienes EE.UU.–Colombia (US$ billones)</a:t>
            </a:r>
          </a:p>
        </c:rich>
      </c:tx>
      <c:overlay val="0"/>
    </c:title>
    <c:autoTitleDeleted val="0"/>
    <c:plotArea>
      <c:layout/>
      <c:lineChart>
        <c:ser>
          <c:idx val="0"/>
          <c:order val="0"/>
          <c:tx>
            <c:v>Exportaciones EE.UU.→Colombia (US$ B)</c:v>
          </c:tx>
          <c:cat>
            <c:strRef>
              <c:f>'02_Balanza_Comercial'!$A$5:$A$9</c:f>
              <c:strCache>
                <c:ptCount val="0"/>
              </c:strCache>
            </c:strRef>
          </c:cat>
          <c:val>
            <c:numRef>
              <c:f>'02_Balanza_Comercial'!$B$5:$B$9</c:f>
              <c:numCache>
                <c:formatCode>$0.0</c:formatCode>
                <c:ptCount val="0"/>
              </c:numCache>
            </c:numRef>
          </c:val>
          <c:smooth val="0"/>
        </c:ser>
        <c:ser>
          <c:idx val="1"/>
          <c:order val="1"/>
          <c:tx>
            <c:v>Importaciones EE.UU.←Colombia (US$ B)</c:v>
          </c:tx>
          <c:cat>
            <c:strRef>
              <c:f>'02_Balanza_Comercial'!$A$5:$A$9</c:f>
              <c:strCache>
                <c:ptCount val="0"/>
              </c:strCache>
            </c:strRef>
          </c:cat>
          <c:val>
            <c:numRef>
              <c:f>'02_Balanza_Comercial'!$C$5:$C$9</c:f>
              <c:numCache>
                <c:formatCode>$0.0</c:formatCode>
                <c:ptCount val="0"/>
              </c:numCache>
            </c:numRef>
          </c:val>
          <c:smooth val="0"/>
        </c:ser>
        <c:ser>
          <c:idx val="2"/>
          <c:order val="2"/>
          <c:tx>
            <c:v>Balance EE.UU.-Colombia (US$ B)</c:v>
          </c:tx>
          <c:cat>
            <c:strRef>
              <c:f>'02_Balanza_Comercial'!$A$5:$A$9</c:f>
              <c:strCache>
                <c:ptCount val="0"/>
              </c:strCache>
            </c:strRef>
          </c:cat>
          <c:val>
            <c:numRef>
              <c:f>'02_Balanza_Comercial'!$D$5:$D$9</c:f>
              <c:numCache>
                <c:formatCode>$0.0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Capacidad logística portuaria: TEUs 2021–2025</a:t>
            </a:r>
          </a:p>
        </c:rich>
      </c:tx>
      <c:overlay val="0"/>
    </c:title>
    <c:autoTitleDeleted val="0"/>
    <c:plotArea>
      <c:layout/>
      <c:lineChart>
        <c:ser>
          <c:idx val="0"/>
          <c:order val="0"/>
          <c:tx>
            <c:v>Port Everglades TEUs</c:v>
          </c:tx>
          <c:cat>
            <c:strRef>
              <c:f>'03_Ruta_Logistica'!$A$5:$A$9</c:f>
              <c:strCache>
                <c:ptCount val="0"/>
              </c:strCache>
            </c:strRef>
          </c:cat>
          <c:val>
            <c:numRef>
              <c:f>'03_Ruta_Logistica'!$B$5:$B$9</c:f>
              <c:numCache>
                <c:formatCode>#,##0</c:formatCode>
                <c:ptCount val="0"/>
              </c:numCache>
            </c:numRef>
          </c:val>
          <c:smooth val="0"/>
        </c:ser>
        <c:ser>
          <c:idx val="1"/>
          <c:order val="1"/>
          <c:tx>
            <c:v>Port Houston TEUs</c:v>
          </c:tx>
          <c:cat>
            <c:strRef>
              <c:f>'03_Ruta_Logistica'!$A$5:$A$9</c:f>
              <c:strCache>
                <c:ptCount val="0"/>
              </c:strCache>
            </c:strRef>
          </c:cat>
          <c:val>
            <c:numRef>
              <c:f>'03_Ruta_Logistica'!$C$5:$C$9</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9</xdr:row>
      <xdr:rowOff>0</xdr:rowOff>
    </xdr:from>
    <xdr:to>
      <xdr:col>13</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f6d7e6ba95b4de2"/>
        </a:graphicData>
      </a:graphic>
    </xdr:graphicFrame>
    <xdr:clientData/>
  </xdr:twoCellAnchor>
</xdr:wsDr>
</file>

<file path=xl/drawings/drawing2.xml><?xml version="1.0" encoding="utf-8"?>
<xdr:wsDr xmlns:xdr="http://schemas.openxmlformats.org/drawingml/2006/spreadsheetDrawing">
  <xdr:twoCellAnchor>
    <xdr:from>
      <xdr:col>5</xdr:col>
      <xdr:colOff>0</xdr:colOff>
      <xdr:row>3</xdr:row>
      <xdr:rowOff>0</xdr:rowOff>
    </xdr:from>
    <xdr:to>
      <xdr:col>13</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64d23dc03e6450d"/>
        </a:graphicData>
      </a:graphic>
    </xdr:graphicFrame>
    <xdr:clientData/>
  </xdr:twoCellAnchor>
</xdr:wsDr>
</file>

<file path=xl/drawings/drawing3.xml><?xml version="1.0" encoding="utf-8"?>
<xdr:wsDr xmlns:xdr="http://schemas.openxmlformats.org/drawingml/2006/spreadsheetDrawing">
  <xdr:twoCellAnchor>
    <xdr:from>
      <xdr:col>4</xdr:col>
      <xdr:colOff>0</xdr:colOff>
      <xdr:row>3</xdr:row>
      <xdr:rowOff>0</xdr:rowOff>
    </xdr:from>
    <xdr:to>
      <xdr:col>12</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0a3dab20a2e40e2"/>
        </a:graphicData>
      </a:graphic>
    </xdr:graphicFrame>
    <xdr:clientData/>
  </xdr:twoCellAnchor>
</xdr:wsDr>
</file>

<file path=xl/tables/table1.xml><?xml version="1.0" encoding="utf-8"?>
<x:table xmlns:x="http://schemas.openxmlformats.org/spreadsheetml/2006/main" id="1" name="Tabla_Instituciones" displayName="Tabla_Instituciones" ref="A4:D9" headerRowCount="1">
  <x:tableColumns count="4">
    <x:tableColumn id="1" name="Año"/>
    <x:tableColumn id="2" name="EE.UU. base"/>
    <x:tableColumn id="3" name="Florida"/>
    <x:tableColumn id="4" name="Texas"/>
  </x:tableColumns>
  <x:tableStyleInfo name="TableStyleMedium2" showRowStripes="1"/>
</x:table>
</file>

<file path=xl/tables/table2.xml><?xml version="1.0" encoding="utf-8"?>
<x:table xmlns:x="http://schemas.openxmlformats.org/spreadsheetml/2006/main" id="2" name="Tabla_US_Colombia" displayName="Tabla_US_Colombia" ref="A4:D9" headerRowCount="1">
  <x:tableColumns count="4">
    <x:tableColumn id="1" name="Año"/>
    <x:tableColumn id="2" name="Exportaciones EE.UU.→Colombia (US$ B)"/>
    <x:tableColumn id="3" name="Importaciones EE.UU.←Colombia (US$ B)"/>
    <x:tableColumn id="4" name="Balance EE.UU.-Colombia (US$ B)"/>
  </x:tableColumns>
  <x:tableStyleInfo name="TableStyleMedium2" showRowStripes="1"/>
</x:table>
</file>

<file path=xl/tables/table3.xml><?xml version="1.0" encoding="utf-8"?>
<x:table xmlns:x="http://schemas.openxmlformats.org/spreadsheetml/2006/main" id="3" name="Tabla_FL_Colombia" displayName="Tabla_FL_Colombia" ref="A11:E17" headerRowCount="1">
  <x:tableColumns count="5">
    <x:tableColumn id="1" name="Año"/>
    <x:tableColumn id="2" name="Florida exporta a Colombia (US$ B)"/>
    <x:tableColumn id="3" name="Florida importa desde Colombia (US$ B)"/>
    <x:tableColumn id="4" name="Balance calculado FL-Colombia (US$ B)"/>
    <x:tableColumn id="5" name="Notas"/>
  </x:tableColumns>
  <x:tableStyleInfo name="TableStyleMedium2" showRowStripes="1"/>
</x:table>
</file>

<file path=xl/tables/table4.xml><?xml version="1.0" encoding="utf-8"?>
<x:table xmlns:x="http://schemas.openxmlformats.org/spreadsheetml/2006/main" id="4" name="Tabla_TEUs" displayName="Tabla_TEUs" ref="A4:C9" headerRowCount="1">
  <x:tableColumns count="3">
    <x:tableColumn id="1" name="Año"/>
    <x:tableColumn id="2" name="Port Everglades TEUs"/>
    <x:tableColumn id="3" name="Port Houston TEUs"/>
  </x:tableColumns>
  <x:tableStyleInfo name="TableStyleMedium2" showRowStripes="1"/>
</x:table>
</file>

<file path=xl/tables/table5.xml><?xml version="1.0" encoding="utf-8"?>
<x:table xmlns:x="http://schemas.openxmlformats.org/spreadsheetml/2006/main" id="5" name="Tabla_Fuentes" displayName="Tabla_Fuentes" ref="A4:D20" headerRowCount="1">
  <x:tableColumns count="4">
    <x:tableColumn id="1" name="Tema"/>
    <x:tableColumn id="2" name="Fuente"/>
    <x:tableColumn id="3" name="Dato usado"/>
    <x:tableColumn id="4" name="URL"/>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a7cb210834634a87" /><Relationship Type="http://schemas.openxmlformats.org/officeDocument/2006/relationships/table" Target="/xl/tables/table1.xml" Id="R00cda701e6c74097" /></Relationships>
</file>

<file path=xl/worksheets/_rels/sheet3.xml.rels>&#65279;<?xml version="1.0" encoding="utf-8"?><Relationships xmlns="http://schemas.openxmlformats.org/package/2006/relationships"><Relationship Type="http://schemas.openxmlformats.org/officeDocument/2006/relationships/drawing" Target="/xl/drawings/drawing2.xml" Id="R2c2cf67de4674e30" /><Relationship Type="http://schemas.openxmlformats.org/officeDocument/2006/relationships/table" Target="/xl/tables/table2.xml" Id="R5c6872153c0e462b" /><Relationship Type="http://schemas.openxmlformats.org/officeDocument/2006/relationships/table" Target="/xl/tables/table3.xml" Id="R28f31a841f0049e5" /></Relationships>
</file>

<file path=xl/worksheets/_rels/sheet4.xml.rels>&#65279;<?xml version="1.0" encoding="utf-8"?><Relationships xmlns="http://schemas.openxmlformats.org/package/2006/relationships"><Relationship Type="http://schemas.openxmlformats.org/officeDocument/2006/relationships/drawing" Target="/xl/drawings/drawing3.xml" Id="Rc54bce9799f74ae5" /><Relationship Type="http://schemas.openxmlformats.org/officeDocument/2006/relationships/table" Target="/xl/tables/table4.xml" Id="R3f8edcff6908420b" /></Relationships>
</file>

<file path=xl/worksheets/_rels/sheet5.xml.rels>&#65279;<?xml version="1.0" encoding="utf-8"?><Relationships xmlns="http://schemas.openxmlformats.org/package/2006/relationships"><Relationship Type="http://schemas.openxmlformats.org/officeDocument/2006/relationships/table" Target="/xl/tables/table5.xml" Id="R4fd4858283444431" /></Relationships>
</file>

<file path=xl/worksheets/sheet1.xml><?xml version="1.0" encoding="utf-8"?>
<x:worksheet xmlns:x="http://schemas.openxmlformats.org/spreadsheetml/2006/main">
  <x:sheetFormatPr defaultRowHeight="15"/>
  <x:cols>
    <x:col min="1" max="1" width="28" hidden="0" customWidth="1"/>
    <x:col min="2" max="2" width="16" hidden="0" customWidth="1"/>
    <x:col min="3" max="3" width="16" hidden="0" customWidth="1"/>
    <x:col min="4" max="4" width="16" hidden="0" customWidth="1"/>
    <x:col min="5" max="5" width="55" hidden="0" customWidth="1"/>
    <x:col min="6" max="6" width="18" hidden="0" customWidth="1"/>
    <x:col min="7" max="7" width="18" hidden="0" customWidth="1"/>
    <x:col min="8" max="8" width="18" hidden="0" customWidth="1"/>
  </x:cols>
  <x:sheetData>
    <x:row r="1" ht="28" customHeight="1">
      <x:c r="A1" s="62" t="str">
        <x:v>UMO · Entorno de Comercio Internacional</x:v>
      </x:c>
      <x:c r="B1" s="63"/>
      <x:c r="C1" s="63"/>
      <x:c r="D1" s="63"/>
      <x:c r="E1" s="63"/>
      <x:c r="F1" s="63"/>
      <x:c r="G1" s="63"/>
      <x:c r="H1" s="63"/>
    </x:row>
    <x:row r="2" ht="24" customHeight="1">
      <x:c r="A2" s="14" t="str">
        <x:v>Comparación Florida vs Texas para la internacionalización de sillines/cojines para tractores, podadoras y maquinaria similar</x:v>
      </x:c>
    </x:row>
    <x:row r="4">
      <x:c r="A4" s="24" t="str">
        <x:v>Indicador</x:v>
      </x:c>
      <x:c r="B4" s="24" t="str">
        <x:v>Florida</x:v>
      </x:c>
      <x:c r="C4" s="24" t="str">
        <x:v>Texas</x:v>
      </x:c>
      <x:c r="D4" s="24" t="str">
        <x:v>Estado ganador</x:v>
      </x:c>
      <x:c r="E4" s="24" t="str">
        <x:v>Lectura estratégica para UMO</x:v>
      </x:c>
    </x:row>
    <x:row r="5">
      <x:c r="A5" s="30" t="str">
        <x:v>Instituciones de apoyo</x:v>
      </x:c>
      <x:c r="B5" s="32" t="n">
        <x:v>4.8</x:v>
      </x:c>
      <x:c r="C5" s="32" t="n">
        <x:v>5</x:v>
      </x:c>
      <x:c r="D5" s="30" t="str">
        <x:v>Texas</x:v>
      </x:c>
      <x:c r="E5" s="30" t="str">
        <x:v>Texas gana por mayor músculo comercial/exportador e infraestructura institucional; Florida es muy fuerte para entrada por el sureste y relación con Colombia.</x:v>
      </x:c>
    </x:row>
    <x:row r="6">
      <x:c r="A6" s="30" t="str">
        <x:v>Balanza comercial Colombia-EE.UU./estados</x:v>
      </x:c>
      <x:c r="B6" s="32" t="n">
        <x:v>5</x:v>
      </x:c>
      <x:c r="C6" s="32" t="n">
        <x:v>4.7</x:v>
      </x:c>
      <x:c r="D6" s="30" t="str">
        <x:v>Florida</x:v>
      </x:c>
      <x:c r="E6" s="30" t="str">
        <x:v>Florida destaca por relación comercial visible con Colombia; Texas es muy fuerte por escala exportadora, pero Colombia no aparece entre sus 5 mercados principales.</x:v>
      </x:c>
    </x:row>
    <x:row r="7">
      <x:c r="A7" s="30" t="str">
        <x:v>Ruta logística Colombia → Florida/Texas</x:v>
      </x:c>
      <x:c r="B7" s="32" t="n">
        <x:v>4.9</x:v>
      </x:c>
      <x:c r="C7" s="32" t="n">
        <x:v>5</x:v>
      </x:c>
      <x:c r="D7" s="30" t="str">
        <x:v>Texas</x:v>
      </x:c>
      <x:c r="E7" s="30" t="str">
        <x:v>Texas gana por capacidad portuaria y distribución interna; Florida tiene mejor cercanía y tiempos más cortos desde la costa norte de Suramérica.</x:v>
      </x:c>
    </x:row>
    <x:row r="9">
      <x:c r="A9" s="36" t="str">
        <x:v>Conclusión ejecutiva</x:v>
      </x:c>
    </x:row>
    <x:row r="10">
      <x:c r="A10" s="42" t="str">
        <x:v>El entorno de comercio internacional es favorable para UMO. Florida funciona como una entrada logística rápida y cercana al mercado colombiano, especialmente por Port Everglades/Miami y su relación comercial con Colombia. Texas funciona mejor como mercado de escala: mayor infraestructura logística, red vial/ferroviaria y conexión con clientes agrícolas, industriales y distribuidores B2B. La estrategia recomendada es usar Florida como puerta de entrada y Texas como mercado principal de expansión comercial.</x:v>
      </x:c>
    </x:row>
    <x:row r="15">
      <x:c r="A15" s="48" t="str">
        <x:v>Datos clave 2025</x:v>
      </x:c>
    </x:row>
    <x:row r="16">
      <x:c r="A16" s="56" t="str">
        <x:v>Dato</x:v>
      </x:c>
      <x:c r="B16" s="56" t="str">
        <x:v>Florida</x:v>
      </x:c>
      <x:c r="C16" s="56" t="str">
        <x:v>Texas</x:v>
      </x:c>
      <x:c r="D16" s="56" t="str">
        <x:v>EE.UU./contexto</x:v>
      </x:c>
      <x:c r="E16" s="56" t="str">
        <x:v>Fuente</x:v>
      </x:c>
    </x:row>
    <x:row r="17">
      <x:c r="A17" s="30" t="str">
        <x:v>Exportaciones totales estatales</x:v>
      </x:c>
      <x:c r="B17" s="30" t="str">
        <x:v>US$78.9B</x:v>
      </x:c>
      <x:c r="C17" s="30" t="str">
        <x:v>US$450.3B</x:v>
      </x:c>
      <x:c r="D17" s="30" t="str">
        <x:v>Texas es el mayor exportador estatal</x:v>
      </x:c>
      <x:c r="E17" s="30" t="str">
        <x:v>USTR Florida/Texas 2025</x:v>
      </x:c>
    </x:row>
    <x:row r="18">
      <x:c r="A18" s="30" t="str">
        <x:v>Colombia como mercado</x:v>
      </x:c>
      <x:c r="B18" s="30" t="str">
        <x:v>5.º destino de exportación (~US$2.7B)</x:v>
      </x:c>
      <x:c r="C18" s="30" t="str">
        <x:v>No está en top 5</x:v>
      </x:c>
      <x:c r="D18" s="30" t="str">
        <x:v>Comercio bilateral EE.UU.-Colombia: US$37.2B</x:v>
      </x:c>
      <x:c r="E18" s="30" t="str">
        <x:v>USTR/Census</x:v>
      </x:c>
    </x:row>
    <x:row r="19">
      <x:c r="A19" s="30" t="str">
        <x:v>Capacidad portuaria</x:v>
      </x:c>
      <x:c r="B19" s="30" t="str">
        <x:v>Port Everglades: 1.17M TEUs</x:v>
      </x:c>
      <x:c r="C19" s="30" t="str">
        <x:v>Port Houston: 4.30M TEUs</x:v>
      </x:c>
      <x:c r="D19" s="30" t="str">
        <x:v>Ambos con récord en 2025</x:v>
      </x:c>
      <x:c r="E19" s="30" t="str">
        <x:v>Puertos oficiales</x:v>
      </x:c>
    </x:row>
    <x:row r="20">
      <x:c r="A20" s="30" t="str">
        <x:v>Tiempo marítimo aproximado</x:v>
      </x:c>
      <x:c r="B20" s="30" t="str">
        <x:v>Costa norte Suramérica → Port Everglades: ~6 días</x:v>
      </x:c>
      <x:c r="C20" s="30" t="str">
        <x:v>Cartagena → Houston: ~9d 15h</x:v>
      </x:c>
      <x:c r="D20" s="30" t="str">
        <x:v>Rutas dependen de naviera/carga</x:v>
      </x:c>
      <x:c r="E20" s="30" t="str">
        <x:v>Port Everglades/FluentCargo</x:v>
      </x:c>
    </x:row>
    <x:row r="22">
      <x:c r="A22" s="118" t="str">
        <x:v>Nota: Los indicadores de instituciones y algunos datos estatales funcionan como proxies estratégicos cuando no existe una serie oficial exacta 2021–2025. Las fuentes verificables están documentadas en la hoja 04_Fuentes.</x:v>
      </x:c>
    </x:row>
  </x:sheetData>
  <x:mergeCells>
    <x:mergeCell ref="A1:H1"/>
    <x:mergeCell ref="A2:H2"/>
    <x:mergeCell ref="A9:H9"/>
    <x:mergeCell ref="A10:H13"/>
    <x:mergeCell ref="A15:H15"/>
    <x:mergeCell ref="A22:E22"/>
  </x:mergeCells>
  <x:conditionalFormatting sqref="B5:C7">
    <x:cfRule type="colorScale" priority="1">
      <x:colorScale>
        <x:cfvo type="min"/>
        <x:cfvo type="percentile" val="50"/>
        <x:cfvo type="max"/>
        <x:color rgb="FEE2E2"/>
        <x:color rgb="FEF3C7"/>
        <x:color rgb="DCFCE7"/>
      </x:colorScale>
    </x:cfRule>
  </x:conditionalFormatting>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18" hidden="0" customWidth="1"/>
    <x:col min="3" max="3" width="18" hidden="0" customWidth="1"/>
    <x:col min="4" max="4" width="28" hidden="0" customWidth="1"/>
    <x:col min="5" max="5" width="34" hidden="0" customWidth="1"/>
    <x:col min="6" max="6" width="18" hidden="0" customWidth="1"/>
    <x:col min="7" max="7" width="18" hidden="0" customWidth="1"/>
    <x:col min="8" max="8" width="18" hidden="0" customWidth="1"/>
  </x:cols>
  <x:sheetData>
    <x:row r="1" ht="28" customHeight="1">
      <x:c r="A1" s="69" t="str">
        <x:v>Indicador 1 · Instituciones de apoyo al comercio exterior</x:v>
      </x:c>
      <x:c r="B1" s="63"/>
      <x:c r="C1" s="63"/>
      <x:c r="D1" s="63"/>
      <x:c r="E1" s="63"/>
      <x:c r="F1" s="63"/>
      <x:c r="G1" s="63"/>
      <x:c r="H1" s="63"/>
    </x:row>
    <x:row r="2" ht="24" customHeight="1">
      <x:c r="A2" s="14" t="str">
        <x:v>Índice construido 0–5 con base en disponibilidad de servicios, apoyo institucional, promoción comercial y utilidad directa para UMO</x:v>
      </x:c>
    </x:row>
    <x:row r="4">
      <x:c r="A4" s="24" t="str">
        <x:v>Año</x:v>
      </x:c>
      <x:c r="B4" s="24" t="str">
        <x:v>EE.UU. base</x:v>
      </x:c>
      <x:c r="C4" s="24" t="str">
        <x:v>Florida</x:v>
      </x:c>
      <x:c r="D4" s="24" t="str">
        <x:v>Texas</x:v>
      </x:c>
      <x:c r="F4" s="56" t="str">
        <x:v>Calificación</x:v>
      </x:c>
      <x:c r="G4" s="56" t="str">
        <x:v>Florida</x:v>
      </x:c>
      <x:c r="H4" s="56" t="str">
        <x:v>Texas</x:v>
      </x:c>
    </x:row>
    <x:row r="5">
      <x:c r="A5" s="78" t="n">
        <x:v>2021</x:v>
      </x:c>
      <x:c r="B5" s="32" t="n">
        <x:v>4.5</x:v>
      </x:c>
      <x:c r="C5" s="32" t="n">
        <x:v>4.4</x:v>
      </x:c>
      <x:c r="D5" s="32" t="n">
        <x:v>4.5</x:v>
      </x:c>
      <x:c r="F5" s="30" t="str">
        <x:v>Impacto 1-5</x:v>
      </x:c>
      <x:c r="G5" s="32" t="n">
        <x:v>4.8</x:v>
      </x:c>
      <x:c r="H5" s="32" t="n">
        <x:v>5</x:v>
      </x:c>
    </x:row>
    <x:row r="6">
      <x:c r="A6" s="78" t="n">
        <x:v>2022</x:v>
      </x:c>
      <x:c r="B6" s="32" t="n">
        <x:v>4.6</x:v>
      </x:c>
      <x:c r="C6" s="32" t="n">
        <x:v>4.5</x:v>
      </x:c>
      <x:c r="D6" s="32" t="n">
        <x:v>4.6</x:v>
      </x:c>
      <x:c r="F6" s="30" t="str">
        <x:v>Ganador</x:v>
      </x:c>
      <x:c r="G6" s="30" t="str">
        <x:v>—</x:v>
      </x:c>
      <x:c r="H6" s="30" t="str">
        <x:v>Texas</x:v>
      </x:c>
    </x:row>
    <x:row r="7">
      <x:c r="A7" s="78" t="n">
        <x:v>2023</x:v>
      </x:c>
      <x:c r="B7" s="32" t="n">
        <x:v>4.6</x:v>
      </x:c>
      <x:c r="C7" s="32" t="n">
        <x:v>4.6</x:v>
      </x:c>
      <x:c r="D7" s="32" t="n">
        <x:v>4.8</x:v>
      </x:c>
      <x:c r="F7" s="30" t="str">
        <x:v>Razón</x:v>
      </x:c>
      <x:c r="G7" s="30" t="str">
        <x:v>Entrada cercana y fuerte con Colombia</x:v>
      </x:c>
      <x:c r="H7" s="30" t="str">
        <x:v>Mayor escala institucional/exportadora</x:v>
      </x:c>
    </x:row>
    <x:row r="8">
      <x:c r="A8" s="78" t="n">
        <x:v>2024</x:v>
      </x:c>
      <x:c r="B8" s="32" t="n">
        <x:v>4.7</x:v>
      </x:c>
      <x:c r="C8" s="32" t="n">
        <x:v>4.8</x:v>
      </x:c>
      <x:c r="D8" s="32" t="n">
        <x:v>4.9</x:v>
      </x:c>
      <x:c r="F8" s="30" t="str">
        <x:v>Tipo de dato</x:v>
      </x:c>
      <x:c r="G8" s="30" t="str">
        <x:v>Proxy estratégico</x:v>
      </x:c>
      <x:c r="H8" s="30" t="str">
        <x:v>Proxy estratégico</x:v>
      </x:c>
    </x:row>
    <x:row r="9">
      <x:c r="A9" s="78" t="n">
        <x:v>2025</x:v>
      </x:c>
      <x:c r="B9" s="32" t="n">
        <x:v>4.8</x:v>
      </x:c>
      <x:c r="C9" s="32" t="n">
        <x:v>4.9</x:v>
      </x:c>
      <x:c r="D9" s="32" t="n">
        <x:v>5</x:v>
      </x:c>
    </x:row>
    <x:row r="11">
      <x:c r="A11" s="81" t="str">
        <x:v>Texto analítico listo para la página web</x:v>
      </x:c>
    </x:row>
    <x:row r="12" ht="86" customHeight="1">
      <x:c r="A12" s="86" t="str">
        <x:v>Este indicador evalúa la red de apoyo disponible para entrar al mercado: ProColombia, AmCham Colombia, SelectUSA y oficinas estatales como SelectFlorida y Texas Economic Development. Para UMO, estas instituciones reducen incertidumbre porque ofrecen inteligencia de mercado, contactos, eventos, asesoría de internacionalización, site selection e información regulatoria. Florida es fuerte porque tiene servicios para empresas internacionales, oficinas, puertos y una relación visible con Colombia; Texas obtiene la mejor calificación por su ecosistema comercial más amplio, liderazgo exportador, infraestructura de entrada y red empresarial industrial. El indicador se trabaja como proxy estratégico, no como estadística oficial única. Calificación: Texas 5/5, Florida 4.8/5.</x:v>
      </x:c>
    </x:row>
    <x:row r="13" ht="86" customHeight="1"/>
    <x:row r="14" ht="86" customHeight="1"/>
    <x:row r="15" ht="86" customHeight="1"/>
    <x:row r="16" ht="86" customHeight="1"/>
    <x:row r="18">
      <x:c r="A18" s="90" t="str">
        <x:v>Fuentes principales</x:v>
      </x:c>
    </x:row>
    <x:row r="19">
      <x:c r="A19" s="94" t="str">
        <x:v>Fuente</x:v>
      </x:c>
      <x:c r="B19" s="94" t="str">
        <x:v>Uso</x:v>
      </x:c>
      <x:c r="C19" s="94" t="str">
        <x:v>URL</x:v>
      </x:c>
      <x:c r="D19" s="94" t="str">
        <x:v>Nota</x:v>
      </x:c>
    </x:row>
    <x:row r="20">
      <x:c r="A20" s="30" t="str">
        <x:v>ProColombia</x:v>
      </x:c>
      <x:c r="B20" s="30" t="str">
        <x:v>Promoción de exportaciones, inversión y apoyo a internacionalización</x:v>
      </x:c>
      <x:c r="C20" s="30" t="str">
        <x:v>https://procolombia.co/</x:v>
      </x:c>
      <x:c r="D20" s="30" t="str">
        <x:v>Institución colombiana clave.</x:v>
      </x:c>
    </x:row>
    <x:row r="21">
      <x:c r="A21" s="30" t="str">
        <x:v>AmCham Colombia</x:v>
      </x:c>
      <x:c r="B21" s="30" t="str">
        <x:v>Red empresarial Colombia-Estados Unidos, comercio exterior y asuntos corporativos</x:v>
      </x:c>
      <x:c r="C21" s="30" t="str">
        <x:v>https://amchamcolombia.co/</x:v>
      </x:c>
      <x:c r="D21" s="30" t="str">
        <x:v>Cámara binacional.</x:v>
      </x:c>
    </x:row>
    <x:row r="22">
      <x:c r="A22" s="30" t="str">
        <x:v>SelectUSA</x:v>
      </x:c>
      <x:c r="B22" s="30" t="str">
        <x:v>Apoyo a inversión y conexión con EDOs estatales</x:v>
      </x:c>
      <x:c r="C22" s="30" t="str">
        <x:v>https://www.trade.gov/selectusa</x:v>
      </x:c>
      <x:c r="D22" s="30" t="str">
        <x:v>Apoyo federal de EE.UU.</x:v>
      </x:c>
    </x:row>
    <x:row r="23">
      <x:c r="A23" s="30" t="str">
        <x:v>SelectFlorida / FloridaCommerce</x:v>
      </x:c>
      <x:c r="B23" s="30" t="str">
        <x:v>Export assistance, grants, market development y apoyo a empresas internacionales</x:v>
      </x:c>
      <x:c r="C23" s="30" t="str">
        <x:v>https://www.floridajobs.org/</x:v>
      </x:c>
      <x:c r="D23" s="30" t="str">
        <x:v>Apoyo estatal en Florida.</x:v>
      </x:c>
    </x:row>
    <x:row r="24">
      <x:c r="A24" s="30" t="str">
        <x:v>Texas Economic Development</x:v>
      </x:c>
      <x:c r="B24" s="30" t="str">
        <x:v>Promoción comercial, inversión y servicios de ubicación empresarial</x:v>
      </x:c>
      <x:c r="C24" s="30" t="str">
        <x:v>https://businessintexas.com/</x:v>
      </x:c>
      <x:c r="D24" s="30" t="str">
        <x:v>Apoyo estatal en Texas.</x:v>
      </x:c>
    </x:row>
  </x:sheetData>
  <x:mergeCells>
    <x:mergeCell ref="A1:H1"/>
    <x:mergeCell ref="A2:H2"/>
    <x:mergeCell ref="A11:D11"/>
    <x:mergeCell ref="A12:D16"/>
    <x:mergeCell ref="A18:D18"/>
  </x:mergeCells>
  <x:conditionalFormatting sqref="G5:H5">
    <x:cfRule type="colorScale" priority="1">
      <x:colorScale>
        <x:cfvo type="min"/>
        <x:cfvo type="percentile" val="50"/>
        <x:cfvo type="max"/>
        <x:color rgb="FEE2E2"/>
        <x:color rgb="FEF3C7"/>
        <x:color rgb="DCFCE7"/>
      </x:colorScale>
    </x:cfRule>
  </x:conditionalFormatting>
  <x:pageMargins left="0.7" right="0.7" top="0.75" bottom="0.75" header="0.3" footer="0.3"/>
  <x:drawing xmlns:r="http://schemas.openxmlformats.org/officeDocument/2006/relationships" r:id="Ra7cb210834634a87"/>
  <x:tableParts count="1">
    <x:tablePart xmlns:r="http://schemas.openxmlformats.org/officeDocument/2006/relationships" r:id="R00cda701e6c74097"/>
  </x:tableParts>
</x:worksheet>
</file>

<file path=xl/worksheets/sheet3.xml><?xml version="1.0" encoding="utf-8"?>
<x:worksheet xmlns:x="http://schemas.openxmlformats.org/spreadsheetml/2006/main">
  <x:sheetFormatPr defaultRowHeight="15"/>
  <x:cols>
    <x:col min="1" max="1" width="16" hidden="0" customWidth="1"/>
    <x:col min="2" max="2" width="18" hidden="0" customWidth="1"/>
    <x:col min="3" max="3" width="18" hidden="0" customWidth="1"/>
    <x:col min="4" max="4" width="28" hidden="0" customWidth="1"/>
    <x:col min="5" max="5" width="34" hidden="0" customWidth="1"/>
    <x:col min="6" max="6" width="18" hidden="0" customWidth="1"/>
    <x:col min="7" max="7" width="18" hidden="0" customWidth="1"/>
    <x:col min="8" max="8" width="18" hidden="0" customWidth="1"/>
  </x:cols>
  <x:sheetData>
    <x:row r="1" ht="28" customHeight="1">
      <x:c r="A1" s="69" t="str">
        <x:v>Indicador 2 · Evolución de la balanza comercial Colombia–EE.UU. y referencia estatal</x:v>
      </x:c>
      <x:c r="B1" s="63"/>
      <x:c r="C1" s="63"/>
      <x:c r="D1" s="63"/>
      <x:c r="E1" s="63"/>
      <x:c r="F1" s="63"/>
      <x:c r="G1" s="63"/>
      <x:c r="H1" s="63"/>
    </x:row>
    <x:row r="2" ht="24" customHeight="1">
      <x:c r="A2" s="14" t="str">
        <x:v>Serie oficial bilateral 2021–2025 + datos estatales disponibles para Florida como proxy de relación comercial con Colombia</x:v>
      </x:c>
    </x:row>
    <x:row r="4">
      <x:c r="A4" s="24" t="str">
        <x:v>Año</x:v>
      </x:c>
      <x:c r="B4" s="24" t="str">
        <x:v>Exportaciones EE.UU.→Colombia (US$ B)</x:v>
      </x:c>
      <x:c r="C4" s="24" t="str">
        <x:v>Importaciones EE.UU.←Colombia (US$ B)</x:v>
      </x:c>
      <x:c r="D4" s="24" t="str">
        <x:v>Balance EE.UU.-Colombia (US$ B)</x:v>
      </x:c>
    </x:row>
    <x:row r="5">
      <x:c r="A5" t="n">
        <x:v>2021</x:v>
      </x:c>
      <x:c r="B5" s="98" t="n">
        <x:v>16.7657</x:v>
      </x:c>
      <x:c r="C5" s="98" t="n">
        <x:v>13.1754</x:v>
      </x:c>
      <x:c r="D5" s="98" t="n">
        <x:v>3.5903</x:v>
      </x:c>
    </x:row>
    <x:row r="6">
      <x:c r="A6" t="n">
        <x:v>2022</x:v>
      </x:c>
      <x:c r="B6" s="98" t="n">
        <x:v>21.1341</x:v>
      </x:c>
      <x:c r="C6" s="98" t="n">
        <x:v>18.4788</x:v>
      </x:c>
      <x:c r="D6" s="98" t="n">
        <x:v>2.6553</x:v>
      </x:c>
    </x:row>
    <x:row r="7">
      <x:c r="A7" t="n">
        <x:v>2023</x:v>
      </x:c>
      <x:c r="B7" s="98" t="n">
        <x:v>17.5952</x:v>
      </x:c>
      <x:c r="C7" s="98" t="n">
        <x:v>16.109</x:v>
      </x:c>
      <x:c r="D7" s="98" t="n">
        <x:v>1.4862</x:v>
      </x:c>
    </x:row>
    <x:row r="8">
      <x:c r="A8" t="n">
        <x:v>2024</x:v>
      </x:c>
      <x:c r="B8" s="98" t="n">
        <x:v>18.6954</x:v>
      </x:c>
      <x:c r="C8" s="98" t="n">
        <x:v>17.8646</x:v>
      </x:c>
      <x:c r="D8" s="98" t="n">
        <x:v>0.8308</x:v>
      </x:c>
    </x:row>
    <x:row r="9">
      <x:c r="A9" t="n">
        <x:v>2025</x:v>
      </x:c>
      <x:c r="B9" s="98" t="n">
        <x:v>19.3945</x:v>
      </x:c>
      <x:c r="C9" s="98" t="n">
        <x:v>17.8142</x:v>
      </x:c>
      <x:c r="D9" s="98" t="n">
        <x:v>1.5802</x:v>
      </x:c>
    </x:row>
    <x:row r="11">
      <x:c r="A11" s="56" t="str">
        <x:v>Año</x:v>
      </x:c>
      <x:c r="B11" s="56" t="str">
        <x:v>Florida exporta a Colombia (US$ B)</x:v>
      </x:c>
      <x:c r="C11" s="56" t="str">
        <x:v>Florida importa desde Colombia (US$ B)</x:v>
      </x:c>
      <x:c r="D11" s="56" t="str">
        <x:v>Balance calculado FL-Colombia (US$ B)</x:v>
      </x:c>
      <x:c r="E11" s="56" t="str">
        <x:v>Notas</x:v>
      </x:c>
    </x:row>
    <x:row r="12">
      <x:c r="A12" s="30" t="n">
        <x:v>2021</x:v>
      </x:c>
      <x:c r="B12" s="100"/>
      <x:c r="C12" s="100"/>
      <x:c r="D12" s="100"/>
      <x:c r="E12" s="30" t="str">
        <x:v>Dato estatal abierto no usado por falta de fuente directa verificada en esta versión.</x:v>
      </x:c>
    </x:row>
    <x:row r="13">
      <x:c r="A13" s="30" t="n">
        <x:v>2022</x:v>
      </x:c>
      <x:c r="B13" s="100" t="n">
        <x:v>2.731710647</x:v>
      </x:c>
      <x:c r="C13" s="100" t="n">
        <x:v>3.699141342</x:v>
      </x:c>
      <x:c r="D13" s="100" t="n">
        <x:v>-0.967430695</x:v>
      </x:c>
      <x:c r="E13" s="30" t="str">
        <x:v>State-origin exports + state-destination imports; proxy estatal.</x:v>
      </x:c>
    </x:row>
    <x:row r="14">
      <x:c r="A14" s="30" t="n">
        <x:v>2023</x:v>
      </x:c>
      <x:c r="B14" s="100" t="n">
        <x:v>2.347557576</x:v>
      </x:c>
      <x:c r="C14" s="100" t="n">
        <x:v>4.131371523</x:v>
      </x:c>
      <x:c r="D14" s="100" t="n">
        <x:v>-1.783813947</x:v>
      </x:c>
      <x:c r="E14" s="30" t="str">
        <x:v>State-origin exports + state-destination imports; proxy estatal.</x:v>
      </x:c>
    </x:row>
    <x:row r="15">
      <x:c r="A15" s="30" t="n">
        <x:v>2024</x:v>
      </x:c>
      <x:c r="B15" s="100" t="n">
        <x:v>2.456492219</x:v>
      </x:c>
      <x:c r="C15" s="100" t="n">
        <x:v>4.346103736</x:v>
      </x:c>
      <x:c r="D15" s="100" t="n">
        <x:v>-1.889611517</x:v>
      </x:c>
      <x:c r="E15" s="30" t="str">
        <x:v>State-origin exports + state-destination imports; proxy estatal.</x:v>
      </x:c>
    </x:row>
    <x:row r="16">
      <x:c r="A16" s="30" t="n">
        <x:v>2025</x:v>
      </x:c>
      <x:c r="B16" s="100" t="n">
        <x:v>2.7</x:v>
      </x:c>
      <x:c r="C16" s="100"/>
      <x:c r="D16" s="100"/>
      <x:c r="E16" s="30" t="str">
        <x:v>USTR reporta Colombia como 5.º mercado de exportación de Florida (~US$2.7B).</x:v>
      </x:c>
    </x:row>
    <x:row r="17">
      <x:c r="A17" s="30"/>
      <x:c r="B17" s="100"/>
      <x:c r="C17" s="100"/>
      <x:c r="D17" s="100"/>
      <x:c r="E17" s="30"/>
    </x:row>
    <x:row r="20">
      <x:c r="A20" s="81" t="str">
        <x:v>Texto analítico listo para la página web</x:v>
      </x:c>
    </x:row>
    <x:row r="21" ht="86" customHeight="1">
      <x:c r="A21" s="86" t="str">
        <x:v>Este indicador muestra la intensidad comercial Colombia–Estados Unidos y, donde hay datos abiertos, la relación de Florida con Colombia. La serie oficial del U.S. Census muestra que el comercio bilateral de bienes se mantuvo fuerte entre 2021 y 2025, con superávit para EE. UU. todos los años. Para UMO es positivo porque confirma rutas, operadores, trámites e historial comercial activo entre ambos países. Florida destaca porque Colombia aparece como uno de sus principales mercados de exportación y como fuente relevante de importaciones; esto facilita justificar entrada por puertos y aeropuertos del sureste. Texas sigue siendo atractivo por su escala exportadora, pero Colombia no aparece entre sus cinco principales mercados. Calificación: Florida 5/5, Texas 4.7/5.</x:v>
      </x:c>
    </x:row>
    <x:row r="22" ht="86" customHeight="1"/>
    <x:row r="23" ht="86" customHeight="1"/>
    <x:row r="24" ht="86" customHeight="1">
      <x:c r="F24" s="56" t="str">
        <x:v>Calificación</x:v>
      </x:c>
      <x:c r="G24" s="56" t="str">
        <x:v>Florida</x:v>
      </x:c>
      <x:c r="H24" s="56" t="str">
        <x:v>Texas</x:v>
      </x:c>
    </x:row>
    <x:row r="25" ht="86" customHeight="1">
      <x:c r="F25" s="30" t="str">
        <x:v>Impacto 1-5</x:v>
      </x:c>
      <x:c r="G25" s="32" t="n">
        <x:v>5</x:v>
      </x:c>
      <x:c r="H25" s="32" t="n">
        <x:v>4.7</x:v>
      </x:c>
    </x:row>
    <x:row r="26">
      <x:c r="F26" s="30" t="str">
        <x:v>Ganador</x:v>
      </x:c>
      <x:c r="G26" s="30" t="str">
        <x:v>Florida</x:v>
      </x:c>
      <x:c r="H26" s="30" t="str">
        <x:v>—</x:v>
      </x:c>
    </x:row>
    <x:row r="27">
      <x:c r="A27" s="104" t="str">
        <x:v>Nota metodológica</x:v>
      </x:c>
      <x:c r="F27" s="30" t="str">
        <x:v>Razón</x:v>
      </x:c>
      <x:c r="G27" s="30" t="str">
        <x:v>Relación directa visible con Colombia</x:v>
      </x:c>
      <x:c r="H27" s="30" t="str">
        <x:v>Escala exportadora general superior</x:v>
      </x:c>
    </x:row>
    <x:row r="28">
      <x:c r="A28" s="110" t="str">
        <x:v>La tabla estatal de Florida combina exportaciones de origen estatal e importaciones de destino estatal. Es útil como proxy de relación comercial, pero no reemplaza la balanza nacional oficial del U.S. Census. Para Texas, se recomienda complementar con TradeStats Express si el profesor exige balanza estatal exacta con Colombia.</x:v>
      </x:c>
      <x:c r="F28" s="30" t="str">
        <x:v>Tipo de dato</x:v>
      </x:c>
      <x:c r="G28" s="30" t="str">
        <x:v>Dato estatal + proxy</x:v>
      </x:c>
      <x:c r="H28" s="30" t="str">
        <x:v>Contexto estatal/exportador</x:v>
      </x:c>
    </x:row>
  </x:sheetData>
  <x:mergeCells>
    <x:mergeCell ref="A1:H1"/>
    <x:mergeCell ref="A2:H2"/>
    <x:mergeCell ref="A20:D20"/>
    <x:mergeCell ref="A21:D25"/>
    <x:mergeCell ref="A27:D27"/>
    <x:mergeCell ref="A28:D30"/>
  </x:mergeCells>
  <x:conditionalFormatting sqref="G25:H25">
    <x:cfRule type="colorScale" priority="1">
      <x:colorScale>
        <x:cfvo type="min"/>
        <x:cfvo type="percentile" val="50"/>
        <x:cfvo type="max"/>
        <x:color rgb="FEE2E2"/>
        <x:color rgb="FEF3C7"/>
        <x:color rgb="DCFCE7"/>
      </x:colorScale>
    </x:cfRule>
  </x:conditionalFormatting>
  <x:pageMargins left="0.7" right="0.7" top="0.75" bottom="0.75" header="0.3" footer="0.3"/>
  <x:drawing xmlns:r="http://schemas.openxmlformats.org/officeDocument/2006/relationships" r:id="R2c2cf67de4674e30"/>
  <x:tableParts count="2">
    <x:tablePart xmlns:r="http://schemas.openxmlformats.org/officeDocument/2006/relationships" r:id="R5c6872153c0e462b"/>
    <x:tablePart xmlns:r="http://schemas.openxmlformats.org/officeDocument/2006/relationships" r:id="R28f31a841f0049e5"/>
  </x:tableParts>
</x:worksheet>
</file>

<file path=xl/worksheets/sheet4.xml><?xml version="1.0" encoding="utf-8"?>
<x:worksheet xmlns:x="http://schemas.openxmlformats.org/spreadsheetml/2006/main">
  <x:sheetFormatPr defaultRowHeight="15"/>
  <x:cols>
    <x:col min="1" max="1" width="16" hidden="0" customWidth="1"/>
    <x:col min="2" max="2" width="18" hidden="0" customWidth="1"/>
    <x:col min="3" max="3" width="18" hidden="0" customWidth="1"/>
    <x:col min="4" max="4" width="28" hidden="0" customWidth="1"/>
    <x:col min="5" max="5" width="34" hidden="0" customWidth="1"/>
    <x:col min="6" max="6" width="18" hidden="0" customWidth="1"/>
    <x:col min="7" max="7" width="18" hidden="0" customWidth="1"/>
    <x:col min="8" max="8" width="18" hidden="0" customWidth="1"/>
  </x:cols>
  <x:sheetData>
    <x:row r="1" ht="28" customHeight="1">
      <x:c r="A1" s="69" t="str">
        <x:v>Indicador 3 · Ruta logística Colombia → Florida / Texas</x:v>
      </x:c>
      <x:c r="B1" s="63"/>
      <x:c r="C1" s="63"/>
      <x:c r="D1" s="63"/>
      <x:c r="E1" s="63"/>
      <x:c r="F1" s="63"/>
      <x:c r="G1" s="63"/>
      <x:c r="H1" s="63"/>
    </x:row>
    <x:row r="2" ht="24" customHeight="1">
      <x:c r="A2" s="14" t="str">
        <x:v>Capacidad portuaria 2021–2025 + ruta sugerida de entrada y distribución para UMO</x:v>
      </x:c>
    </x:row>
    <x:row r="4">
      <x:c r="A4" s="24" t="str">
        <x:v>Año</x:v>
      </x:c>
      <x:c r="B4" s="24" t="str">
        <x:v>Port Everglades TEUs</x:v>
      </x:c>
      <x:c r="C4" s="24" t="str">
        <x:v>Port Houston TEUs</x:v>
      </x:c>
    </x:row>
    <x:row r="5">
      <x:c r="A5" t="n">
        <x:v>2021</x:v>
      </x:c>
      <x:c r="B5" s="114" t="n">
        <x:v>1038179</x:v>
      </x:c>
      <x:c r="C5" s="114" t="n">
        <x:v>3453226</x:v>
      </x:c>
    </x:row>
    <x:row r="6">
      <x:c r="A6" t="n">
        <x:v>2022</x:v>
      </x:c>
      <x:c r="B6" s="114" t="n">
        <x:v>1107546</x:v>
      </x:c>
      <x:c r="C6" s="114" t="n">
        <x:v>3974900</x:v>
      </x:c>
    </x:row>
    <x:row r="7">
      <x:c r="A7" t="n">
        <x:v>2023</x:v>
      </x:c>
      <x:c r="B7" s="114" t="n">
        <x:v>1013159</x:v>
      </x:c>
      <x:c r="C7" s="114" t="n">
        <x:v>3826157</x:v>
      </x:c>
    </x:row>
    <x:row r="8">
      <x:c r="A8" t="n">
        <x:v>2024</x:v>
      </x:c>
      <x:c r="B8" s="114" t="n">
        <x:v>1087112</x:v>
      </x:c>
      <x:c r="C8" s="114" t="n">
        <x:v>4139991</x:v>
      </x:c>
    </x:row>
    <x:row r="9">
      <x:c r="A9" t="n">
        <x:v>2025</x:v>
      </x:c>
      <x:c r="B9" s="114" t="n">
        <x:v>1167552</x:v>
      </x:c>
      <x:c r="C9" s="114" t="n">
        <x:v>4303345</x:v>
      </x:c>
    </x:row>
    <x:row r="12">
      <x:c r="A12" s="56" t="str">
        <x:v>Ruta</x:v>
      </x:c>
      <x:c r="B12" s="56" t="str">
        <x:v>Salida Colombia</x:v>
      </x:c>
      <x:c r="C12" s="56" t="str">
        <x:v>Llegada EE.UU.</x:v>
      </x:c>
      <x:c r="D12" s="56" t="str">
        <x:v>Tiempo marítimo aprox.</x:v>
      </x:c>
      <x:c r="E12" s="56" t="str">
        <x:v>Distribución sugerida</x:v>
      </x:c>
      <x:c r="F12" s="56" t="str">
        <x:v>Lectura para UMO</x:v>
      </x:c>
    </x:row>
    <x:row r="13">
      <x:c r="A13" s="30" t="str">
        <x:v>Colombia → Florida</x:v>
      </x:c>
      <x:c r="B13" s="30" t="str">
        <x:v>Cartagena / Barranquilla</x:v>
      </x:c>
      <x:c r="C13" s="30" t="str">
        <x:v>Port Everglades / Miami</x:v>
      </x:c>
      <x:c r="D13" s="30" t="str">
        <x:v>~6 días desde costa norte de Suramérica a Port Everglades</x:v>
      </x:c>
      <x:c r="E13" s="30" t="str">
        <x:v>Miami, Orlando, Tampa, Jacksonville y sureste de EE.UU.</x:v>
      </x:c>
      <x:c r="F13" s="30" t="str">
        <x:v>Entrada rápida, cercana y útil para mercado residencial/jardinería.</x:v>
      </x:c>
    </x:row>
    <x:row r="14">
      <x:c r="A14" s="30" t="str">
        <x:v>Colombia → Texas</x:v>
      </x:c>
      <x:c r="B14" s="30" t="str">
        <x:v>Cartagena</x:v>
      </x:c>
      <x:c r="C14" s="30" t="str">
        <x:v>Port Houston</x:v>
      </x:c>
      <x:c r="D14" s="30" t="str">
        <x:v>~9 días 15h Cartagena→Houston</x:v>
      </x:c>
      <x:c r="E14" s="30" t="str">
        <x:v>Houston, Dallas-Fort Worth, San Antonio, Austin, zonas rurales/agro</x:v>
      </x:c>
      <x:c r="F14" s="30" t="str">
        <x:v>Mejor para escalar B2B con distribuidores, dealers y clientes agrícolas.</x:v>
      </x:c>
    </x:row>
    <x:row r="17">
      <x:c r="A17" s="81" t="str">
        <x:v>Texto analítico listo para la página web</x:v>
      </x:c>
    </x:row>
    <x:row r="18" ht="86" customHeight="1">
      <x:c r="A18" s="86" t="str">
        <x:v>Este indicador evalúa la facilidad física para mover mercancía desde Colombia hasta Florida o Texas. Florida ofrece ventaja de cercanía: Port Everglades reporta tiempos aproximados de importación de 6 días desde la costa norte de Suramérica y existen servicios semanales con Barranquilla/Cartagena. Texas, aunque tiene tránsito marítimo más largo desde Cartagena hacia Houston, destaca por volumen, infraestructura, conexiones carreteras/ferroviarias y capacidad de distribución hacia mercados agrícolas e industriales. Para UMO, Texas es mejor para escalar distribución B2B hacia dealers de maquinaria, ranchos y zonas rurales; Florida es atractiva para entrada inicial rápida y redistribución en el sureste. Calificación: Texas 5/5, Florida 4.9/5.</x:v>
      </x:c>
    </x:row>
    <x:row r="19" ht="86" customHeight="1"/>
    <x:row r="20" ht="86" customHeight="1"/>
    <x:row r="21" ht="86" customHeight="1"/>
    <x:row r="22" ht="86" customHeight="1"/>
    <x:row r="24">
      <x:c r="F24" s="56" t="str">
        <x:v>Calificación</x:v>
      </x:c>
      <x:c r="G24" s="56" t="str">
        <x:v>Florida</x:v>
      </x:c>
      <x:c r="H24" s="56" t="str">
        <x:v>Texas</x:v>
      </x:c>
    </x:row>
    <x:row r="25">
      <x:c r="F25" s="30" t="str">
        <x:v>Impacto 1-5</x:v>
      </x:c>
      <x:c r="G25" s="32" t="n">
        <x:v>4.9</x:v>
      </x:c>
      <x:c r="H25" s="32" t="n">
        <x:v>5</x:v>
      </x:c>
    </x:row>
    <x:row r="26">
      <x:c r="F26" s="30" t="str">
        <x:v>Ganador</x:v>
      </x:c>
      <x:c r="G26" s="30" t="str">
        <x:v>—</x:v>
      </x:c>
      <x:c r="H26" s="30" t="str">
        <x:v>Texas</x:v>
      </x:c>
    </x:row>
    <x:row r="27">
      <x:c r="F27" s="30" t="str">
        <x:v>Razón</x:v>
      </x:c>
      <x:c r="G27" s="30" t="str">
        <x:v>Más rápido/cercano para entrada inicial</x:v>
      </x:c>
      <x:c r="H27" s="30" t="str">
        <x:v>Más capacidad y mejor escala interna</x:v>
      </x:c>
    </x:row>
    <x:row r="28">
      <x:c r="F28" s="30" t="str">
        <x:v>Tipo de dato</x:v>
      </x:c>
      <x:c r="G28" s="30" t="str">
        <x:v>Puertos + transit time</x:v>
      </x:c>
      <x:c r="H28" s="30" t="str">
        <x:v>Puertos + transit time</x:v>
      </x:c>
    </x:row>
  </x:sheetData>
  <x:mergeCells>
    <x:mergeCell ref="A1:H1"/>
    <x:mergeCell ref="A2:H2"/>
    <x:mergeCell ref="A17:D17"/>
    <x:mergeCell ref="A18:D22"/>
  </x:mergeCells>
  <x:conditionalFormatting sqref="G25:H25">
    <x:cfRule type="colorScale" priority="1">
      <x:colorScale>
        <x:cfvo type="min"/>
        <x:cfvo type="percentile" val="50"/>
        <x:cfvo type="max"/>
        <x:color rgb="FEE2E2"/>
        <x:color rgb="FEF3C7"/>
        <x:color rgb="DCFCE7"/>
      </x:colorScale>
    </x:cfRule>
  </x:conditionalFormatting>
  <x:pageMargins left="0.7" right="0.7" top="0.75" bottom="0.75" header="0.3" footer="0.3"/>
  <x:drawing xmlns:r="http://schemas.openxmlformats.org/officeDocument/2006/relationships" r:id="Rc54bce9799f74ae5"/>
  <x:tableParts count="1">
    <x:tablePart xmlns:r="http://schemas.openxmlformats.org/officeDocument/2006/relationships" r:id="R3f8edcff6908420b"/>
  </x:tableParts>
</x:worksheet>
</file>

<file path=xl/worksheets/sheet5.xml><?xml version="1.0" encoding="utf-8"?>
<x:worksheet xmlns:x="http://schemas.openxmlformats.org/spreadsheetml/2006/main">
  <x:sheetFormatPr defaultRowHeight="15"/>
  <x:cols>
    <x:col min="1" max="1" width="16" hidden="0" customWidth="1"/>
    <x:col min="2" max="2" width="18" hidden="0" customWidth="1"/>
    <x:col min="3" max="3" width="48" hidden="0" customWidth="1"/>
    <x:col min="4" max="4" width="48" hidden="0" customWidth="1"/>
    <x:col min="5" max="5" width="34" hidden="0" customWidth="1"/>
    <x:col min="6" max="6" width="18" hidden="0" customWidth="1"/>
    <x:col min="7" max="7" width="18" hidden="0" customWidth="1"/>
    <x:col min="8" max="8" width="18" hidden="0" customWidth="1"/>
  </x:cols>
  <x:sheetData>
    <x:row r="1" ht="28" customHeight="1">
      <x:c r="A1" s="69" t="str">
        <x:v>Fuentes verificadas y URLs</x:v>
      </x:c>
      <x:c r="B1" s="63"/>
      <x:c r="C1" s="63"/>
      <x:c r="D1" s="63"/>
      <x:c r="E1" s="63"/>
      <x:c r="F1" s="63"/>
      <x:c r="G1" s="63"/>
      <x:c r="H1" s="63"/>
    </x:row>
    <x:row r="2" ht="24" customHeight="1">
      <x:c r="A2" s="14" t="str">
        <x:v>Todas las fuentes se dejan como URL directa para copiar a la página o bibliografía</x:v>
      </x:c>
    </x:row>
    <x:row r="4">
      <x:c r="A4" s="94" t="str">
        <x:v>Tema</x:v>
      </x:c>
      <x:c r="B4" s="94" t="str">
        <x:v>Fuente</x:v>
      </x:c>
      <x:c r="C4" s="94" t="str">
        <x:v>Dato usado</x:v>
      </x:c>
      <x:c r="D4" s="94" t="str">
        <x:v>URL</x:v>
      </x:c>
    </x:row>
    <x:row r="5">
      <x:c r="A5" s="30" t="str">
        <x:v>Comercio bilateral</x:v>
      </x:c>
      <x:c r="B5" s="30" t="str">
        <x:v>U.S. Census Bureau</x:v>
      </x:c>
      <x:c r="C5" s="30" t="str">
        <x:v>Exportaciones, importaciones y balance de bienes EE.UU.–Colombia 2021–2025</x:v>
      </x:c>
      <x:c r="D5" s="30" t="str">
        <x:v>https://www.census.gov/foreign-trade/balance/c3010.html</x:v>
      </x:c>
    </x:row>
    <x:row r="6">
      <x:c r="A6" s="30" t="str">
        <x:v>TLC Colombia–EE.UU.</x:v>
      </x:c>
      <x:c r="B6" s="30" t="str">
        <x:v>USTR</x:v>
      </x:c>
      <x:c r="C6" s="30" t="str">
        <x:v>Colombia Trade Promotion Agreement vigente desde 2012 y reglas de comercio</x:v>
      </x:c>
      <x:c r="D6" s="30" t="str">
        <x:v>https://ustr.gov/trade-agreements/free-trade-agreements/colombia-tpa</x:v>
      </x:c>
    </x:row>
    <x:row r="7">
      <x:c r="A7" s="30" t="str">
        <x:v>Apoyo institucional Colombia</x:v>
      </x:c>
      <x:c r="B7" s="30" t="str">
        <x:v>ProColombia</x:v>
      </x:c>
      <x:c r="C7" s="30" t="str">
        <x:v>Promoción de exportaciones, inversión extranjera, turismo e internacionalización</x:v>
      </x:c>
      <x:c r="D7" s="30" t="str">
        <x:v>https://procolombia.co/</x:v>
      </x:c>
    </x:row>
    <x:row r="8">
      <x:c r="A8" s="30" t="str">
        <x:v>Apoyo binacional</x:v>
      </x:c>
      <x:c r="B8" s="30" t="str">
        <x:v>AmCham Colombia</x:v>
      </x:c>
      <x:c r="C8" s="30" t="str">
        <x:v>Servicios de comercio exterior, asuntos corporativos y red empresarial Colombia–EE.UU.</x:v>
      </x:c>
      <x:c r="D8" s="30" t="str">
        <x:v>https://amchamcolombia.co/</x:v>
      </x:c>
    </x:row>
    <x:row r="9">
      <x:c r="A9" s="30" t="str">
        <x:v>Apoyo federal EE.UU.</x:v>
      </x:c>
      <x:c r="B9" s="30" t="str">
        <x:v>SelectUSA</x:v>
      </x:c>
      <x:c r="C9" s="30" t="str">
        <x:v>Seminarios, reuniones uno a uno, base de datos de EDOs, incentivos y site selection</x:v>
      </x:c>
      <x:c r="D9" s="30" t="str">
        <x:v>https://www.trade.gov/selectusa</x:v>
      </x:c>
    </x:row>
    <x:row r="10">
      <x:c r="A10" s="30" t="str">
        <x:v>Apoyo Florida</x:v>
      </x:c>
      <x:c r="B10" s="30" t="str">
        <x:v>FloridaCommerce / SelectFlorida</x:v>
      </x:c>
      <x:c r="C10" s="30" t="str">
        <x:v>Export assistance, grants, international offices, site selection y apoyo a empresas internacionales</x:v>
      </x:c>
      <x:c r="D10" s="30" t="str">
        <x:v>https://www.floridajobs.org/</x:v>
      </x:c>
    </x:row>
    <x:row r="11">
      <x:c r="A11" s="30" t="str">
        <x:v>Apoyo Texas</x:v>
      </x:c>
      <x:c r="B11" s="30" t="str">
        <x:v>Texas Economic Development</x:v>
      </x:c>
      <x:c r="C11" s="30" t="str">
        <x:v>Promoción comercial, inversión, incentivos e infraestructura para negocios</x:v>
      </x:c>
      <x:c r="D11" s="30" t="str">
        <x:v>https://businessintexas.com/</x:v>
      </x:c>
    </x:row>
    <x:row r="12">
      <x:c r="A12" s="30" t="str">
        <x:v>Florida trade</x:v>
      </x:c>
      <x:c r="B12" s="30" t="str">
        <x:v>USTR Florida Factsheet</x:v>
      </x:c>
      <x:c r="C12" s="30" t="str">
        <x:v>Exportaciones totales 2025 y Colombia como 5.º mercado de exportación de Florida</x:v>
      </x:c>
      <x:c r="D12" s="30" t="str">
        <x:v>https://ustr.gov/map/state-benefits/fl</x:v>
      </x:c>
    </x:row>
    <x:row r="13">
      <x:c r="A13" s="30" t="str">
        <x:v>Texas trade</x:v>
      </x:c>
      <x:c r="B13" s="30" t="str">
        <x:v>USTR Texas Factsheet</x:v>
      </x:c>
      <x:c r="C13" s="30" t="str">
        <x:v>Texas como mayor exportador estatal, exportaciones totales 2025 y sectores exportadores</x:v>
      </x:c>
      <x:c r="D13" s="30" t="str">
        <x:v>https://ustr.gov/map/state-benefits/tx</x:v>
      </x:c>
    </x:row>
    <x:row r="14">
      <x:c r="A14" s="30" t="str">
        <x:v>Florida-Colombia trade</x:v>
      </x:c>
      <x:c r="B14" s="30" t="str">
        <x:v>SelectFlorida Merchandise Trade Report</x:v>
      </x:c>
      <x:c r="C14" s="30" t="str">
        <x:v>Exportaciones de Florida a Colombia 2022–2024 e importaciones desde Colombia 2022–2024</x:v>
      </x:c>
      <x:c r="D14" s="30" t="str">
        <x:v>https://selectflorida.org/</x:v>
      </x:c>
    </x:row>
    <x:row r="15">
      <x:c r="A15" s="30" t="str">
        <x:v>Port Everglades TEUs</x:v>
      </x:c>
      <x:c r="B15" s="30" t="str">
        <x:v>Port Everglades Cargo Statistics</x:v>
      </x:c>
      <x:c r="C15" s="30" t="str">
        <x:v>TEUs 2021–2025 y récord 2025</x:v>
      </x:c>
      <x:c r="D15" s="30" t="str">
        <x:v>https://www.porteverglades.net/about-us/statistics/cargo-statistics/</x:v>
      </x:c>
    </x:row>
    <x:row r="16">
      <x:c r="A16" s="30" t="str">
        <x:v>Port Everglades ruta</x:v>
      </x:c>
      <x:c r="B16" s="30" t="str">
        <x:v>Port Everglades Transit Times</x:v>
      </x:c>
      <x:c r="C16" s="30" t="str">
        <x:v>Tiempo aproximado desde costa norte de Suramérica</x:v>
      </x:c>
      <x:c r="D16" s="30" t="str">
        <x:v>https://www.porteverglades.net/</x:v>
      </x:c>
    </x:row>
    <x:row r="17">
      <x:c r="A17" s="30" t="str">
        <x:v>Port Everglades servicios Colombia</x:v>
      </x:c>
      <x:c r="B17" s="30" t="str">
        <x:v>King Ocean Services</x:v>
      </x:c>
      <x:c r="C17" s="30" t="str">
        <x:v>Servicios semanales Barranquilla/Cartagena ↔ Port Everglades</x:v>
      </x:c>
      <x:c r="D17" s="30" t="str">
        <x:v>https://www.kingocean.com/colombia-port-everglades-florida/</x:v>
      </x:c>
    </x:row>
    <x:row r="18">
      <x:c r="A18" s="30" t="str">
        <x:v>Port Houston TEUs 2024</x:v>
      </x:c>
      <x:c r="B18" s="30" t="str">
        <x:v>Port Houston Annual Report</x:v>
      </x:c>
      <x:c r="C18" s="30" t="str">
        <x:v>4,139,991 TEUs en 2024</x:v>
      </x:c>
      <x:c r="D18" s="30" t="str">
        <x:v>https://porthouston.com/</x:v>
      </x:c>
    </x:row>
    <x:row r="19">
      <x:c r="A19" s="30" t="str">
        <x:v>Port Houston TEUs 2025</x:v>
      </x:c>
      <x:c r="B19" s="30" t="str">
        <x:v>Port Houston / trade news release</x:v>
      </x:c>
      <x:c r="C19" s="30" t="str">
        <x:v>4,303,345 TEUs en 2025</x:v>
      </x:c>
      <x:c r="D19" s="30" t="str">
        <x:v>https://porthouston.com/</x:v>
      </x:c>
    </x:row>
    <x:row r="20">
      <x:c r="A20" s="30" t="str">
        <x:v>Cartagena-Houston transit time</x:v>
      </x:c>
      <x:c r="B20" s="30" t="str">
        <x:v>Fluent Cargo</x:v>
      </x:c>
      <x:c r="C20" s="30" t="str">
        <x:v>Tiempo marítimo aproximado Cartagena→Houston</x:v>
      </x:c>
      <x:c r="D20" s="30" t="str">
        <x:v>https://www.fluentcargo.com/</x:v>
      </x:c>
    </x:row>
  </x:sheetData>
  <x:mergeCells>
    <x:mergeCell ref="A1:H1"/>
    <x:mergeCell ref="A2:H2"/>
  </x:mergeCells>
  <x:pageMargins left="0.7" right="0.7" top="0.75" bottom="0.75" header="0.3" footer="0.3"/>
  <x:tableParts count="1">
    <x:tablePart xmlns:r="http://schemas.openxmlformats.org/officeDocument/2006/relationships" r:id="R4fd4858283444431"/>
  </x:tableParts>
</x:worksheet>
</file>

<file path=xl/worksheets/sheet6.xml><?xml version="1.0" encoding="utf-8"?>
<x:worksheet xmlns:x="http://schemas.openxmlformats.org/spreadsheetml/2006/main">
  <x:sheetFormatPr defaultRowHeight="15"/>
  <x:cols>
    <x:col min="1" max="1" width="16" hidden="0" customWidth="1"/>
    <x:col min="2" max="2" width="42" hidden="0" customWidth="1"/>
    <x:col min="3" max="3" width="42" hidden="0" customWidth="1"/>
    <x:col min="4" max="4" width="28" hidden="0" customWidth="1"/>
    <x:col min="5" max="5" width="34" hidden="0" customWidth="1"/>
    <x:col min="6" max="6" width="18" hidden="0" customWidth="1"/>
    <x:col min="7" max="7" width="18" hidden="0" customWidth="1"/>
    <x:col min="8" max="8" width="18" hidden="0" customWidth="1"/>
  </x:cols>
  <x:sheetData>
    <x:row r="1" ht="28" customHeight="1">
      <x:c r="A1" s="69" t="str">
        <x:v>Metodología y cómo usar este Excel</x:v>
      </x:c>
      <x:c r="B1" s="63"/>
      <x:c r="C1" s="63"/>
      <x:c r="D1" s="63"/>
      <x:c r="E1" s="63"/>
      <x:c r="F1" s="63"/>
      <x:c r="G1" s="63"/>
      <x:c r="H1" s="63"/>
    </x:row>
    <x:row r="2" ht="24" customHeight="1">
      <x:c r="A2" s="14" t="str">
        <x:v>Guía rápida para pasar la información a la página web y exposición</x:v>
      </x:c>
    </x:row>
    <x:row r="4">
      <x:c r="A4" s="94" t="str">
        <x:v>Elemento</x:v>
      </x:c>
      <x:c r="B4" s="94" t="str">
        <x:v>Decisión tomada</x:v>
      </x:c>
      <x:c r="C4" s="94" t="str">
        <x:v>Por qué</x:v>
      </x:c>
    </x:row>
    <x:row r="5">
      <x:c r="A5" s="30" t="str">
        <x:v>Periodo</x:v>
      </x:c>
      <x:c r="B5" s="30" t="str">
        <x:v>2021–2025</x:v>
      </x:c>
      <x:c r="C5" s="30" t="str">
        <x:v>Permite mostrar evolución reciente y comparabilidad en gráficos.</x:v>
      </x:c>
    </x:row>
    <x:row r="6">
      <x:c r="A6" s="30" t="str">
        <x:v>Instituciones de apoyo</x:v>
      </x:c>
      <x:c r="B6" s="30" t="str">
        <x:v>Índice construido 0–5</x:v>
      </x:c>
      <x:c r="C6" s="30" t="str">
        <x:v>No existe un indicador oficial único por estado; se calificó la utilidad directa para UMO con fuentes verificadas.</x:v>
      </x:c>
    </x:row>
    <x:row r="7">
      <x:c r="A7" s="30" t="str">
        <x:v>Balanza comercial</x:v>
      </x:c>
      <x:c r="B7" s="30" t="str">
        <x:v>Serie oficial nacional + referencia estatal Florida</x:v>
      </x:c>
      <x:c r="C7" s="30" t="str">
        <x:v>El dato bilateral EE.UU.–Colombia es el más sólido; la referencia estatal ayuda a comparar relación directa con Colombia.</x:v>
      </x:c>
    </x:row>
    <x:row r="8">
      <x:c r="A8" s="30" t="str">
        <x:v>Ruta logística</x:v>
      </x:c>
      <x:c r="B8" s="30" t="str">
        <x:v>TEUs portuarios + tiempos marítimos</x:v>
      </x:c>
      <x:c r="C8" s="30" t="str">
        <x:v>Mide capacidad real de entrada y facilidad para distribuir sillines/cojines dentro de EE.UU.</x:v>
      </x:c>
    </x:row>
    <x:row r="9">
      <x:c r="A9" s="30" t="str">
        <x:v>Calificación</x:v>
      </x:c>
      <x:c r="B9" s="30" t="str">
        <x:v>Siempre un estado ganador con 5/5</x:v>
      </x:c>
      <x:c r="C9" s="30" t="str">
        <x:v>Facilita la comparación estratégica Florida vs Texas según la regla definida por el equipo.</x:v>
      </x:c>
    </x:row>
    <x:row r="10">
      <x:c r="A10" s="30" t="str">
        <x:v>Uso en página</x:v>
      </x:c>
      <x:c r="B10" s="30" t="str">
        <x:v>1 gráfico + análisis + calificación por indicador</x:v>
      </x:c>
      <x:c r="C10" s="30" t="str">
        <x:v>Cumple la rúbrica: gráfico/tabla, fuente, análisis máx. 150 palabras y calificación.</x:v>
      </x:c>
    </x:row>
    <x:row r="12">
      <x:c r="A12" s="81" t="str">
        <x:v>Recomendación estratégica final</x:v>
      </x:c>
    </x:row>
    <x:row r="13">
      <x:c r="A13" s="42" t="str">
        <x:v>Para comercio internacional, la mejor narrativa es: Florida sirve como puerta de entrada por cercanía, relación comercial con Colombia y rutas marítimas rápidas; Texas sirve como mercado de escala por capacidad logística, infraestructura interna y conexión con maquinaria/agroindustria. No hay que escoger uno y matar al otro: se puede plantear entrada inicial por Florida y expansión B2B fuerte hacia Texas.</x:v>
      </x:c>
    </x:row>
  </x:sheetData>
  <x:mergeCells>
    <x:mergeCell ref="A1:H1"/>
    <x:mergeCell ref="A2:H2"/>
    <x:mergeCell ref="A12:C12"/>
    <x:mergeCell ref="A13:C16"/>
  </x:mergeCells>
  <x:pageMargins left="0.7" right="0.7" top="0.75" bottom="0.75" header="0.3" footer="0.3"/>
</x:worksheet>
</file>